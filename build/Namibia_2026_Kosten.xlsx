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Bezahlt" sheetId="1" state="visible" r:id="rId1"/>
    <sheet name="02 Laufend" sheetId="2" state="visible" r:id="rId2"/>
    <sheet name="03 Zusammenfassung" sheetId="3" state="visible" r:id="rId3"/>
  </sheets>
  <definedNames>
    <definedName name="_xlnm._FilterDatabase" localSheetId="0" hidden="1">'01 Bezahlt'!$A$4:$L$21</definedName>
    <definedName name="_xlnm._FilterDatabase" localSheetId="1" hidden="1">'02 Laufend'!$A$4:$N$81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00"/>
  </numFmts>
  <fonts count="6">
    <font>
      <name val="Calibri"/>
      <family val="2"/>
      <color theme="1"/>
      <sz val="11"/>
      <scheme val="minor"/>
    </font>
    <font>
      <b val="1"/>
      <color rgb="001F3B4D"/>
      <sz val="14"/>
    </font>
    <font>
      <i val="1"/>
      <color rgb="00666666"/>
      <sz val="9"/>
    </font>
    <font>
      <b val="1"/>
      <color rgb="00FFFFFF"/>
      <sz val="10"/>
    </font>
    <font>
      <b val="1"/>
    </font>
    <font>
      <b val="1"/>
      <color rgb="001F3B4D"/>
      <sz val="11"/>
    </font>
  </fonts>
  <fills count="6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8EEF2"/>
      </patternFill>
    </fill>
  </fills>
  <borders count="2">
    <border>
      <left/>
      <right/>
      <top/>
      <bottom/>
      <diagonal/>
    </border>
    <border>
      <left style="thin">
        <color rgb="00C9D2D8"/>
      </left>
      <right style="thin">
        <color rgb="00C9D2D8"/>
      </right>
      <top style="thin">
        <color rgb="00C9D2D8"/>
      </top>
      <bottom style="thin">
        <color rgb="00C9D2D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4" borderId="1" pivotButton="0" quotePrefix="0" xfId="0"/>
    <xf numFmtId="164" fontId="4" fillId="4" borderId="1" pivotButton="0" quotePrefix="0" xfId="0"/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0" fontId="5" fillId="5" borderId="0" pivotButton="0" quotePrefix="0" xfId="0"/>
    <xf numFmtId="0" fontId="0" fillId="5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4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0" fillId="3" borderId="1" pivotButton="0" quotePrefix="0" xfId="0"/>
    <xf numFmtId="164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38" customWidth="1" min="4" max="4"/>
    <col width="8" customWidth="1" min="5" max="5"/>
    <col width="12" customWidth="1" min="6" max="6"/>
    <col width="24" customWidth="1" min="7" max="7"/>
    <col width="12" customWidth="1" min="8" max="8"/>
    <col width="12" customWidth="1" min="9" max="9"/>
    <col width="11" customWidth="1" min="10" max="10"/>
    <col width="22" customWidth="1" min="11" max="11"/>
    <col width="48" customWidth="1" min="12" max="12"/>
  </cols>
  <sheetData>
    <row r="1">
      <c r="A1" s="1" t="inlineStr">
        <is>
          <t>Bereits gebuchte &amp; bezahlte Kosten (Vorab-/Fixkosten)</t>
        </is>
      </c>
    </row>
    <row r="2">
      <c r="A2" s="2" t="inlineStr">
        <is>
          <t>Flug, Mietwagen und alle Unterkünfte. Spalte »bezahlt« zählt nur tatsächlich geflossenes Geld, »offen« ist noch fällig.</t>
        </is>
      </c>
    </row>
    <row r="4" ht="30" customHeight="1">
      <c r="A4" s="3" t="inlineStr">
        <is>
          <t>Nr</t>
        </is>
      </c>
      <c r="B4" s="3" t="inlineStr">
        <is>
          <t>Datum</t>
        </is>
      </c>
      <c r="C4" s="3" t="inlineStr">
        <is>
          <t>Kategorie</t>
        </is>
      </c>
      <c r="D4" s="3" t="inlineStr">
        <is>
          <t>Beschreibung</t>
        </is>
      </c>
      <c r="E4" s="3" t="inlineStr">
        <is>
          <t>Nächte</t>
        </is>
      </c>
      <c r="F4" s="3" t="inlineStr">
        <is>
          <t>Betrag €</t>
        </is>
      </c>
      <c r="G4" s="3" t="inlineStr">
        <is>
          <t>Status</t>
        </is>
      </c>
      <c r="H4" s="3" t="inlineStr">
        <is>
          <t>bezahlt €</t>
        </is>
      </c>
      <c r="I4" s="3" t="inlineStr">
        <is>
          <t>offen €</t>
        </is>
      </c>
      <c r="J4" s="3" t="inlineStr">
        <is>
          <t>Zahler</t>
        </is>
      </c>
      <c r="K4" s="3" t="inlineStr">
        <is>
          <t>Zahlmittel</t>
        </is>
      </c>
      <c r="L4" s="3" t="inlineStr">
        <is>
          <t>Anmerkung</t>
        </is>
      </c>
    </row>
    <row r="5">
      <c r="A5" s="4" t="n">
        <v>1</v>
      </c>
      <c r="B5" s="4" t="inlineStr">
        <is>
          <t>2026-09-02</t>
        </is>
      </c>
      <c r="C5" s="4" t="inlineStr">
        <is>
          <t>Flug</t>
        </is>
      </c>
      <c r="D5" s="4" t="inlineStr">
        <is>
          <t>Flug Wien - Muenchen - Windhoek (2 Pers.)</t>
        </is>
      </c>
      <c r="E5" s="4" t="n"/>
      <c r="F5" s="5" t="n">
        <v>1895.26</v>
      </c>
      <c r="G5" s="4" t="inlineStr">
        <is>
          <t>bezahlt</t>
        </is>
      </c>
      <c r="H5" s="5" t="n">
        <v>1895.26</v>
      </c>
      <c r="I5" s="5" t="n">
        <v>0</v>
      </c>
      <c r="J5" s="4" t="inlineStr">
        <is>
          <t>Nora</t>
        </is>
      </c>
      <c r="K5" s="4" t="inlineStr">
        <is>
          <t>N26 Debit</t>
        </is>
      </c>
      <c r="L5" s="6" t="inlineStr">
        <is>
          <t>Von Nora vorab beglichen</t>
        </is>
      </c>
    </row>
    <row r="6">
      <c r="A6" s="7" t="n">
        <v>2</v>
      </c>
      <c r="B6" s="7" t="inlineStr">
        <is>
          <t>2026-09-03</t>
        </is>
      </c>
      <c r="C6" s="7" t="inlineStr">
        <is>
          <t>Mietwagen</t>
        </is>
      </c>
      <c r="D6" s="7" t="inlineStr">
        <is>
          <t>Mietwagen inkl. Camping-Ausstattung 03.-21.09.</t>
        </is>
      </c>
      <c r="E6" s="7" t="n"/>
      <c r="F6" s="8" t="n">
        <v>2805</v>
      </c>
      <c r="G6" s="7" t="inlineStr">
        <is>
          <t>bezahlt</t>
        </is>
      </c>
      <c r="H6" s="8" t="n">
        <v>2805</v>
      </c>
      <c r="I6" s="8" t="n">
        <v>0</v>
      </c>
      <c r="J6" s="7" t="inlineStr">
        <is>
          <t>Patrick</t>
        </is>
      </c>
      <c r="K6" s="7" t="inlineStr">
        <is>
          <t>TBD</t>
        </is>
      </c>
      <c r="L6" s="9" t="inlineStr">
        <is>
          <t>BETRAG UNKLAR: 2805.00 (DE-Tab) vs 2605.03 (Altversion) - bitte klaeren</t>
        </is>
      </c>
    </row>
    <row r="7">
      <c r="A7" s="7" t="n">
        <v>3</v>
      </c>
      <c r="B7" s="7" t="inlineStr">
        <is>
          <t>2026-09-03</t>
        </is>
      </c>
      <c r="C7" s="7" t="inlineStr">
        <is>
          <t>Unterkunft</t>
        </is>
      </c>
      <c r="D7" s="7" t="inlineStr">
        <is>
          <t>Kalahari Anib Campsite</t>
        </is>
      </c>
      <c r="E7" s="7" t="n">
        <v>1</v>
      </c>
      <c r="F7" s="8" t="n">
        <v>36</v>
      </c>
      <c r="G7" s="7" t="inlineStr">
        <is>
          <t>vor Ort - bestaetigen</t>
        </is>
      </c>
      <c r="H7" s="8" t="n">
        <v>0</v>
      </c>
      <c r="I7" s="8" t="n">
        <v>36</v>
      </c>
      <c r="J7" s="7" t="inlineStr">
        <is>
          <t>TBD</t>
        </is>
      </c>
      <c r="K7" s="7" t="inlineStr">
        <is>
          <t>Bargeld?</t>
        </is>
      </c>
      <c r="L7" s="9" t="inlineStr">
        <is>
          <t>Nacht bereits vergangen - wer hat gezahlt?</t>
        </is>
      </c>
    </row>
    <row r="8">
      <c r="A8" s="4" t="n">
        <v>4</v>
      </c>
      <c r="B8" s="4" t="inlineStr">
        <is>
          <t>2026-09-04</t>
        </is>
      </c>
      <c r="C8" s="4" t="inlineStr">
        <is>
          <t>Unterkunft</t>
        </is>
      </c>
      <c r="D8" s="4" t="inlineStr">
        <is>
          <t>Quiver Tree Camping</t>
        </is>
      </c>
      <c r="E8" s="4" t="n">
        <v>1</v>
      </c>
      <c r="F8" s="5" t="n">
        <v>0</v>
      </c>
      <c r="G8" s="4" t="inlineStr">
        <is>
          <t>bar bezahlt - siehe Blatt 02</t>
        </is>
      </c>
      <c r="H8" s="5" t="n">
        <v>0</v>
      </c>
      <c r="I8" s="5" t="n">
        <v>0</v>
      </c>
      <c r="J8" s="4" t="inlineStr">
        <is>
          <t>Patrick</t>
        </is>
      </c>
      <c r="K8" s="4" t="inlineStr">
        <is>
          <t>Bargeld</t>
        </is>
      </c>
      <c r="L8" s="6" t="inlineStr">
        <is>
          <t>720 NAD bar von Patrick gezahlt - Betrag steht in Blatt 02 Nr. 8 (keine Doppelzaehlung)</t>
        </is>
      </c>
    </row>
    <row r="9">
      <c r="A9" s="4" t="n">
        <v>5</v>
      </c>
      <c r="B9" s="4" t="inlineStr">
        <is>
          <t>2026-09-05</t>
        </is>
      </c>
      <c r="C9" s="4" t="inlineStr">
        <is>
          <t>Unterkunft</t>
        </is>
      </c>
      <c r="D9" s="4" t="inlineStr">
        <is>
          <t>Desert Horse Campsite Aus</t>
        </is>
      </c>
      <c r="E9" s="4" t="n">
        <v>2</v>
      </c>
      <c r="F9" s="5" t="n">
        <v>24</v>
      </c>
      <c r="G9" s="4" t="inlineStr">
        <is>
          <t>Deposit bezahlt - Rest siehe Blatt 02</t>
        </is>
      </c>
      <c r="H9" s="5" t="n">
        <v>24</v>
      </c>
      <c r="I9" s="5" t="n">
        <v>0</v>
      </c>
      <c r="J9" s="4" t="inlineStr">
        <is>
          <t>Nora</t>
        </is>
      </c>
      <c r="K9" s="4" t="inlineStr">
        <is>
          <t>N26 Debit</t>
        </is>
      </c>
      <c r="L9" s="6" t="inlineStr">
        <is>
          <t>Restzahlung 100.91 EUR am 05.09. an Klein Aus Vista Lodge - steht in Blatt 02 Nr. 11</t>
        </is>
      </c>
    </row>
    <row r="10">
      <c r="A10" s="7" t="n">
        <v>6</v>
      </c>
      <c r="B10" s="7" t="inlineStr">
        <is>
          <t>2026-09-07</t>
        </is>
      </c>
      <c r="C10" s="7" t="inlineStr">
        <is>
          <t>Unterkunft</t>
        </is>
      </c>
      <c r="D10" s="7" t="inlineStr">
        <is>
          <t>Wereldend Mountain Campsite</t>
        </is>
      </c>
      <c r="E10" s="7" t="n">
        <v>1</v>
      </c>
      <c r="F10" s="8" t="n">
        <v>47.8</v>
      </c>
      <c r="G10" s="7" t="inlineStr">
        <is>
          <t>offen - cash on arrival</t>
        </is>
      </c>
      <c r="H10" s="8" t="n">
        <v>0</v>
      </c>
      <c r="I10" s="8" t="n">
        <v>47.8</v>
      </c>
      <c r="J10" s="7" t="inlineStr">
        <is>
          <t>TBD</t>
        </is>
      </c>
      <c r="K10" s="7" t="inlineStr">
        <is>
          <t>Bargeld</t>
        </is>
      </c>
      <c r="L10" s="9" t="inlineStr">
        <is>
          <t>Bar vor Ort faellig</t>
        </is>
      </c>
    </row>
    <row r="11">
      <c r="A11" s="7" t="n">
        <v>7</v>
      </c>
      <c r="B11" s="7" t="inlineStr">
        <is>
          <t>2026-09-08</t>
        </is>
      </c>
      <c r="C11" s="7" t="inlineStr">
        <is>
          <t>Unterkunft</t>
        </is>
      </c>
      <c r="D11" s="7" t="inlineStr">
        <is>
          <t>Little Sossus Campsite</t>
        </is>
      </c>
      <c r="E11" s="7" t="n">
        <v>2</v>
      </c>
      <c r="F11" s="8" t="n">
        <v>84</v>
      </c>
      <c r="G11" s="7" t="inlineStr">
        <is>
          <t>offen</t>
        </is>
      </c>
      <c r="H11" s="8" t="n">
        <v>0</v>
      </c>
      <c r="I11" s="8" t="n">
        <v>84</v>
      </c>
      <c r="J11" s="7" t="inlineStr">
        <is>
          <t>TBD</t>
        </is>
      </c>
      <c r="K11" s="7" t="inlineStr">
        <is>
          <t>TBD</t>
        </is>
      </c>
      <c r="L11" s="9" t="inlineStr">
        <is>
          <t>Zahlung ausstaendig</t>
        </is>
      </c>
    </row>
    <row r="12">
      <c r="A12" s="7" t="n">
        <v>8</v>
      </c>
      <c r="B12" s="7" t="inlineStr">
        <is>
          <t>2026-09-10</t>
        </is>
      </c>
      <c r="C12" s="7" t="inlineStr">
        <is>
          <t>Unterkunft</t>
        </is>
      </c>
      <c r="D12" s="7" t="inlineStr">
        <is>
          <t>Moonvalley River Camp Swakopmund</t>
        </is>
      </c>
      <c r="E12" s="7" t="n">
        <v>1</v>
      </c>
      <c r="F12" s="8" t="n">
        <v>25</v>
      </c>
      <c r="G12" s="7" t="inlineStr">
        <is>
          <t>offen - cash on arrival</t>
        </is>
      </c>
      <c r="H12" s="8" t="n">
        <v>0</v>
      </c>
      <c r="I12" s="8" t="n">
        <v>25</v>
      </c>
      <c r="J12" s="7" t="inlineStr">
        <is>
          <t>TBD</t>
        </is>
      </c>
      <c r="K12" s="7" t="inlineStr">
        <is>
          <t>Bargeld</t>
        </is>
      </c>
      <c r="L12" s="9" t="inlineStr">
        <is>
          <t>Bar vor Ort faellig</t>
        </is>
      </c>
    </row>
    <row r="13">
      <c r="A13" s="7" t="n">
        <v>9</v>
      </c>
      <c r="B13" s="7" t="inlineStr">
        <is>
          <t>2026-09-11</t>
        </is>
      </c>
      <c r="C13" s="7" t="inlineStr">
        <is>
          <t>Unterkunft</t>
        </is>
      </c>
      <c r="D13" s="7" t="inlineStr">
        <is>
          <t>Spitzkoppe Campsite</t>
        </is>
      </c>
      <c r="E13" s="7" t="n">
        <v>2</v>
      </c>
      <c r="F13" s="8" t="n">
        <v>62</v>
      </c>
      <c r="G13" s="7" t="inlineStr">
        <is>
          <t>offen</t>
        </is>
      </c>
      <c r="H13" s="8" t="n">
        <v>0</v>
      </c>
      <c r="I13" s="8" t="n">
        <v>62</v>
      </c>
      <c r="J13" s="7" t="inlineStr">
        <is>
          <t>TBD</t>
        </is>
      </c>
      <c r="K13" s="7" t="inlineStr">
        <is>
          <t>TBD</t>
        </is>
      </c>
      <c r="L13" s="9" t="inlineStr">
        <is>
          <t>Zahlung ausstaendig</t>
        </is>
      </c>
    </row>
    <row r="14">
      <c r="A14" s="7" t="n">
        <v>10</v>
      </c>
      <c r="B14" s="7" t="inlineStr">
        <is>
          <t>2026-09-13</t>
        </is>
      </c>
      <c r="C14" s="7" t="inlineStr">
        <is>
          <t>Unterkunft</t>
        </is>
      </c>
      <c r="D14" s="7" t="inlineStr">
        <is>
          <t>Granietkop Campsite Damaraland</t>
        </is>
      </c>
      <c r="E14" s="7" t="n">
        <v>1</v>
      </c>
      <c r="F14" s="8" t="n">
        <v>48</v>
      </c>
      <c r="G14" s="7" t="inlineStr">
        <is>
          <t>gebucht - Status unklar</t>
        </is>
      </c>
      <c r="H14" s="8" t="n">
        <v>0</v>
      </c>
      <c r="I14" s="8" t="n">
        <v>48</v>
      </c>
      <c r="J14" s="7" t="inlineStr">
        <is>
          <t>TBD</t>
        </is>
      </c>
      <c r="K14" s="7" t="inlineStr">
        <is>
          <t>TBD</t>
        </is>
      </c>
      <c r="L14" s="9" t="inlineStr">
        <is>
          <t>Zahlungsstatus bitte pruefen</t>
        </is>
      </c>
    </row>
    <row r="15">
      <c r="A15" s="4" t="n">
        <v>11</v>
      </c>
      <c r="B15" s="4" t="inlineStr">
        <is>
          <t>2026-09-14</t>
        </is>
      </c>
      <c r="C15" s="4" t="inlineStr">
        <is>
          <t>Unterkunft</t>
        </is>
      </c>
      <c r="D15" s="4" t="inlineStr">
        <is>
          <t>Hoada Campsite (statt Ugab Terrace)</t>
        </is>
      </c>
      <c r="E15" s="4" t="n">
        <v>1</v>
      </c>
      <c r="F15" s="5" t="n">
        <v>45</v>
      </c>
      <c r="G15" s="4" t="inlineStr">
        <is>
          <t>angezahlt</t>
        </is>
      </c>
      <c r="H15" s="5" t="n">
        <v>0</v>
      </c>
      <c r="I15" s="5" t="n">
        <v>45</v>
      </c>
      <c r="J15" s="4" t="inlineStr">
        <is>
          <t>Nora</t>
        </is>
      </c>
      <c r="K15" s="4" t="inlineStr">
        <is>
          <t>N26 Debit</t>
        </is>
      </c>
      <c r="L15" s="6" t="inlineStr">
        <is>
          <t>Anzahlungsbetrag unbekannt - bitte nachtragen</t>
        </is>
      </c>
    </row>
    <row r="16">
      <c r="A16" s="4" t="n">
        <v>12</v>
      </c>
      <c r="B16" s="4" t="inlineStr">
        <is>
          <t>2026-09-15</t>
        </is>
      </c>
      <c r="C16" s="4" t="inlineStr">
        <is>
          <t>Unterkunft</t>
        </is>
      </c>
      <c r="D16" s="4" t="inlineStr">
        <is>
          <t>Okaukuejo Campsite Etosha</t>
        </is>
      </c>
      <c r="E16" s="4" t="n">
        <v>1</v>
      </c>
      <c r="F16" s="5" t="n">
        <v>58</v>
      </c>
      <c r="G16" s="4" t="inlineStr">
        <is>
          <t>bezahlt</t>
        </is>
      </c>
      <c r="H16" s="5" t="n">
        <v>58</v>
      </c>
      <c r="I16" s="5" t="n">
        <v>0</v>
      </c>
      <c r="J16" s="4" t="inlineStr">
        <is>
          <t>Nora</t>
        </is>
      </c>
      <c r="K16" s="4" t="inlineStr">
        <is>
          <t>N26 Debit</t>
        </is>
      </c>
      <c r="L16" s="6" t="inlineStr">
        <is>
          <t>Von Nora vorab beglichen</t>
        </is>
      </c>
    </row>
    <row r="17">
      <c r="A17" s="4" t="n">
        <v>13</v>
      </c>
      <c r="B17" s="4" t="inlineStr">
        <is>
          <t>2026-09-16</t>
        </is>
      </c>
      <c r="C17" s="4" t="inlineStr">
        <is>
          <t>Unterkunft</t>
        </is>
      </c>
      <c r="D17" s="4" t="inlineStr">
        <is>
          <t>Halali Campsite Etosha</t>
        </is>
      </c>
      <c r="E17" s="4" t="n">
        <v>1</v>
      </c>
      <c r="F17" s="5" t="n">
        <v>57</v>
      </c>
      <c r="G17" s="4" t="inlineStr">
        <is>
          <t>bezahlt</t>
        </is>
      </c>
      <c r="H17" s="5" t="n">
        <v>57</v>
      </c>
      <c r="I17" s="5" t="n">
        <v>0</v>
      </c>
      <c r="J17" s="4" t="inlineStr">
        <is>
          <t>Nora</t>
        </is>
      </c>
      <c r="K17" s="4" t="inlineStr">
        <is>
          <t>N26 Debit</t>
        </is>
      </c>
      <c r="L17" s="6" t="inlineStr">
        <is>
          <t>Von Nora vorab beglichen</t>
        </is>
      </c>
    </row>
    <row r="18">
      <c r="A18" s="7" t="n">
        <v>14</v>
      </c>
      <c r="B18" s="7" t="inlineStr">
        <is>
          <t>2026-09-17</t>
        </is>
      </c>
      <c r="C18" s="7" t="inlineStr">
        <is>
          <t>Unterkunft</t>
        </is>
      </c>
      <c r="D18" s="7" t="inlineStr">
        <is>
          <t>Onguma Tamboti</t>
        </is>
      </c>
      <c r="E18" s="7" t="n">
        <v>1</v>
      </c>
      <c r="F18" s="8" t="n">
        <v>58</v>
      </c>
      <c r="G18" s="7" t="inlineStr">
        <is>
          <t>gebucht - Status unklar</t>
        </is>
      </c>
      <c r="H18" s="8" t="n">
        <v>0</v>
      </c>
      <c r="I18" s="8" t="n">
        <v>58</v>
      </c>
      <c r="J18" s="7" t="inlineStr">
        <is>
          <t>TBD</t>
        </is>
      </c>
      <c r="K18" s="7" t="inlineStr">
        <is>
          <t>TBD</t>
        </is>
      </c>
      <c r="L18" s="9" t="inlineStr">
        <is>
          <t>Zahlungsstatus bitte pruefen</t>
        </is>
      </c>
    </row>
    <row r="19">
      <c r="A19" s="7" t="n">
        <v>15</v>
      </c>
      <c r="B19" s="7" t="inlineStr">
        <is>
          <t>2026-09-18</t>
        </is>
      </c>
      <c r="C19" s="7" t="inlineStr">
        <is>
          <t>Unterkunft</t>
        </is>
      </c>
      <c r="D19" s="7" t="inlineStr">
        <is>
          <t>Onguma Tamboti (2. Nacht)</t>
        </is>
      </c>
      <c r="E19" s="7" t="n">
        <v>1</v>
      </c>
      <c r="F19" s="8" t="n">
        <v>58</v>
      </c>
      <c r="G19" s="7" t="inlineStr">
        <is>
          <t>gebucht - Status unklar</t>
        </is>
      </c>
      <c r="H19" s="8" t="n">
        <v>0</v>
      </c>
      <c r="I19" s="8" t="n">
        <v>58</v>
      </c>
      <c r="J19" s="7" t="inlineStr">
        <is>
          <t>TBD</t>
        </is>
      </c>
      <c r="K19" s="7" t="inlineStr">
        <is>
          <t>TBD</t>
        </is>
      </c>
      <c r="L19" s="9" t="inlineStr">
        <is>
          <t>Zahlungsstatus bitte pruefen</t>
        </is>
      </c>
    </row>
    <row r="20">
      <c r="A20" s="4" t="n">
        <v>16</v>
      </c>
      <c r="B20" s="4" t="inlineStr">
        <is>
          <t>2026-09-19</t>
        </is>
      </c>
      <c r="C20" s="4" t="inlineStr">
        <is>
          <t>Unterkunft</t>
        </is>
      </c>
      <c r="D20" s="4" t="inlineStr">
        <is>
          <t>Waterberg Campsite</t>
        </is>
      </c>
      <c r="E20" s="4" t="n">
        <v>1</v>
      </c>
      <c r="F20" s="5" t="n">
        <v>44.7</v>
      </c>
      <c r="G20" s="4" t="inlineStr">
        <is>
          <t>bezahlt</t>
        </is>
      </c>
      <c r="H20" s="5" t="n">
        <v>44.7</v>
      </c>
      <c r="I20" s="5" t="n">
        <v>0</v>
      </c>
      <c r="J20" s="4" t="inlineStr">
        <is>
          <t>Nora</t>
        </is>
      </c>
      <c r="K20" s="4" t="inlineStr">
        <is>
          <t>N26 Debit</t>
        </is>
      </c>
      <c r="L20" s="6" t="inlineStr">
        <is>
          <t>Von Nora vorab beglichen</t>
        </is>
      </c>
    </row>
    <row r="21">
      <c r="A21" s="4" t="n">
        <v>17</v>
      </c>
      <c r="B21" s="4" t="inlineStr">
        <is>
          <t>2026-09-20</t>
        </is>
      </c>
      <c r="C21" s="4" t="inlineStr">
        <is>
          <t>Unterkunft</t>
        </is>
      </c>
      <c r="D21" s="4" t="inlineStr">
        <is>
          <t>Omatozu Safari Camp</t>
        </is>
      </c>
      <c r="E21" s="4" t="n">
        <v>1</v>
      </c>
      <c r="F21" s="5" t="n">
        <v>34</v>
      </c>
      <c r="G21" s="4" t="inlineStr">
        <is>
          <t>bezahlt</t>
        </is>
      </c>
      <c r="H21" s="5" t="n">
        <v>34</v>
      </c>
      <c r="I21" s="5" t="n">
        <v>0</v>
      </c>
      <c r="J21" s="4" t="inlineStr">
        <is>
          <t>Nora</t>
        </is>
      </c>
      <c r="K21" s="4" t="inlineStr">
        <is>
          <t>N26 Debit</t>
        </is>
      </c>
      <c r="L21" s="6" t="inlineStr">
        <is>
          <t>Von Nora vorab beglichen</t>
        </is>
      </c>
    </row>
    <row r="22">
      <c r="A22" s="10" t="n"/>
      <c r="B22" s="10" t="n"/>
      <c r="C22" s="10" t="n"/>
      <c r="D22" s="10" t="inlineStr">
        <is>
          <t>SUMME</t>
        </is>
      </c>
      <c r="E22" s="10" t="n"/>
      <c r="F22" s="11">
        <f>SUM(F5:F21)</f>
        <v/>
      </c>
      <c r="G22" s="10" t="n"/>
      <c r="H22" s="11">
        <f>SUM(H5:H21)</f>
        <v/>
      </c>
      <c r="I22" s="11">
        <f>SUM(I5:I21)</f>
        <v/>
      </c>
      <c r="J22" s="10" t="n"/>
      <c r="K22" s="10" t="n"/>
      <c r="L22" s="10" t="n"/>
    </row>
  </sheetData>
  <autoFilter ref="A4:L21"/>
  <dataValidations count="3">
    <dataValidation sqref="C5:C61" showDropDown="0" showInputMessage="0" showErrorMessage="0" allowBlank="1" type="list">
      <formula1>"Flug,Mietwagen,Unterkunft,Tanken,Lebensmittel,Restaurant,Eintritt,Aktivitäten,Ausrüstung,Gebühren,Shopping,Sonstiges,Bargeld"</formula1>
    </dataValidation>
    <dataValidation sqref="J5:J61" showDropDown="0" showInputMessage="0" showErrorMessage="0" allowBlank="1" type="list">
      <formula1>"Patrick,Nora,Kasse,TBD"</formula1>
    </dataValidation>
    <dataValidation sqref="K5:K61" showDropDown="0" showInputMessage="0" showErrorMessage="0" allowBlank="1" type="list">
      <formula1>"Oberbank Debit,Mastercard card complete,N26 Debit,Bargeld,Ueberweisung,TBD"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11" customWidth="1" min="4" max="4"/>
    <col width="18" customWidth="1" min="5" max="5"/>
    <col width="26" customWidth="1" min="6" max="6"/>
    <col width="14" customWidth="1" min="7" max="7"/>
    <col width="12" customWidth="1" min="8" max="8"/>
    <col width="9" customWidth="1" min="9" max="9"/>
    <col width="12" customWidth="1" min="10" max="10"/>
    <col width="11" customWidth="1" min="11" max="11"/>
    <col width="22" customWidth="1" min="12" max="12"/>
    <col width="11" customWidth="1" min="13" max="13"/>
    <col width="46" customWidth="1" min="14" max="14"/>
  </cols>
  <sheetData>
    <row r="1">
      <c r="A1" s="1" t="inlineStr">
        <is>
          <t>Laufende Kosten während der Reise</t>
        </is>
      </c>
    </row>
    <row r="2">
      <c r="A2" s="2" t="inlineStr">
        <is>
          <t>Typ »Ausgabe« = echte Kosten. Typ »Abhebung« = Umbuchung in die Reisekasse (keine Ausgabe!). Kurs = Fremdwährung ÷ Euro.</t>
        </is>
      </c>
    </row>
    <row r="4" ht="30" customHeight="1">
      <c r="A4" s="3" t="inlineStr">
        <is>
          <t>Nr</t>
        </is>
      </c>
      <c r="B4" s="3" t="inlineStr">
        <is>
          <t>Datum</t>
        </is>
      </c>
      <c r="C4" s="3" t="inlineStr">
        <is>
          <t>Zeit</t>
        </is>
      </c>
      <c r="D4" s="3" t="inlineStr">
        <is>
          <t>Typ</t>
        </is>
      </c>
      <c r="E4" s="3" t="inlineStr">
        <is>
          <t>Ort</t>
        </is>
      </c>
      <c r="F4" s="3" t="inlineStr">
        <is>
          <t>Händler</t>
        </is>
      </c>
      <c r="G4" s="3" t="inlineStr">
        <is>
          <t>Kategorie</t>
        </is>
      </c>
      <c r="H4" s="3" t="inlineStr">
        <is>
          <t>Betrag FW</t>
        </is>
      </c>
      <c r="I4" s="3" t="inlineStr">
        <is>
          <t>Währung</t>
        </is>
      </c>
      <c r="J4" s="3" t="inlineStr">
        <is>
          <t>Betrag €</t>
        </is>
      </c>
      <c r="K4" s="3" t="inlineStr">
        <is>
          <t>Zahler</t>
        </is>
      </c>
      <c r="L4" s="3" t="inlineStr">
        <is>
          <t>Zahlmittel</t>
        </is>
      </c>
      <c r="M4" s="3" t="inlineStr">
        <is>
          <t>Kurs NAD/€</t>
        </is>
      </c>
      <c r="N4" s="3" t="inlineStr">
        <is>
          <t>Anmerkung</t>
        </is>
      </c>
    </row>
    <row r="5">
      <c r="A5" s="4" t="n">
        <v>1</v>
      </c>
      <c r="B5" s="4" t="inlineStr">
        <is>
          <t>2026-09-02</t>
        </is>
      </c>
      <c r="C5" s="4" t="inlineStr">
        <is>
          <t>14:14</t>
        </is>
      </c>
      <c r="D5" s="4" t="inlineStr">
        <is>
          <t>Ausgabe</t>
        </is>
      </c>
      <c r="E5" s="4" t="inlineStr">
        <is>
          <t>Flughafen Wien</t>
        </is>
      </c>
      <c r="F5" s="4" t="inlineStr">
        <is>
          <t>Leberkaespepi</t>
        </is>
      </c>
      <c r="G5" s="4" t="inlineStr">
        <is>
          <t>Restaurant</t>
        </is>
      </c>
      <c r="H5" s="12" t="n"/>
      <c r="I5" s="4" t="inlineStr">
        <is>
          <t>EUR</t>
        </is>
      </c>
      <c r="J5" s="5" t="n">
        <v>9.800000000000001</v>
      </c>
      <c r="K5" s="4" t="inlineStr">
        <is>
          <t>Patrick</t>
        </is>
      </c>
      <c r="L5" s="4" t="inlineStr">
        <is>
          <t>Oberbank Debit?</t>
        </is>
      </c>
      <c r="M5" s="13">
        <f>IF(AND(H5&lt;&gt;"",J5&lt;&gt;"",J5&lt;&gt;0),H5/J5,"")</f>
        <v/>
      </c>
      <c r="N5" s="6" t="inlineStr">
        <is>
          <t>Verpflegung Anreise</t>
        </is>
      </c>
    </row>
    <row r="6">
      <c r="A6" s="4" t="n">
        <v>2</v>
      </c>
      <c r="B6" s="4" t="inlineStr">
        <is>
          <t>2026-09-02</t>
        </is>
      </c>
      <c r="C6" s="4" t="inlineStr">
        <is>
          <t>15:03</t>
        </is>
      </c>
      <c r="D6" s="4" t="inlineStr">
        <is>
          <t>Ausgabe</t>
        </is>
      </c>
      <c r="E6" s="4" t="inlineStr">
        <is>
          <t>Flughafen Wien</t>
        </is>
      </c>
      <c r="F6" s="4" t="inlineStr">
        <is>
          <t>Relay F Gate</t>
        </is>
      </c>
      <c r="G6" s="4" t="inlineStr">
        <is>
          <t>Sonstiges</t>
        </is>
      </c>
      <c r="H6" s="12" t="n"/>
      <c r="I6" s="4" t="inlineStr">
        <is>
          <t>EUR</t>
        </is>
      </c>
      <c r="J6" s="5" t="n">
        <v>11.84</v>
      </c>
      <c r="K6" s="4" t="inlineStr">
        <is>
          <t>Patrick</t>
        </is>
      </c>
      <c r="L6" s="4" t="inlineStr">
        <is>
          <t>Oberbank Debit?</t>
        </is>
      </c>
      <c r="M6" s="13">
        <f>IF(AND(H6&lt;&gt;"",J6&lt;&gt;"",J6&lt;&gt;0),H6/J6,"")</f>
        <v/>
      </c>
      <c r="N6" s="6" t="inlineStr">
        <is>
          <t>Kiosk - Kategorie bitte bestaetigen</t>
        </is>
      </c>
    </row>
    <row r="7">
      <c r="A7" s="4" t="n">
        <v>3</v>
      </c>
      <c r="B7" s="4" t="inlineStr">
        <is>
          <t>2026-09-02</t>
        </is>
      </c>
      <c r="C7" s="4" t="inlineStr">
        <is>
          <t>20:05</t>
        </is>
      </c>
      <c r="D7" s="4" t="inlineStr">
        <is>
          <t>Ausgabe</t>
        </is>
      </c>
      <c r="E7" s="4" t="inlineStr">
        <is>
          <t>Flughafen Muenchen</t>
        </is>
      </c>
      <c r="F7" s="4" t="inlineStr">
        <is>
          <t>MUC Airport Retail</t>
        </is>
      </c>
      <c r="G7" s="4" t="inlineStr">
        <is>
          <t>Sonstiges</t>
        </is>
      </c>
      <c r="H7" s="12" t="n"/>
      <c r="I7" s="4" t="inlineStr">
        <is>
          <t>EUR</t>
        </is>
      </c>
      <c r="J7" s="5" t="n">
        <v>5.91</v>
      </c>
      <c r="K7" s="4" t="inlineStr">
        <is>
          <t>Patrick</t>
        </is>
      </c>
      <c r="L7" s="4" t="inlineStr">
        <is>
          <t>Oberbank Debit?</t>
        </is>
      </c>
      <c r="M7" s="13">
        <f>IF(AND(H7&lt;&gt;"",J7&lt;&gt;"",J7&lt;&gt;0),H7/J7,"")</f>
        <v/>
      </c>
      <c r="N7" s="6" t="inlineStr">
        <is>
          <t>Transit MUC</t>
        </is>
      </c>
    </row>
    <row r="8">
      <c r="A8" s="4" t="n">
        <v>4</v>
      </c>
      <c r="B8" s="4" t="inlineStr">
        <is>
          <t>2026-09-03</t>
        </is>
      </c>
      <c r="C8" s="4" t="inlineStr">
        <is>
          <t>09:08</t>
        </is>
      </c>
      <c r="D8" s="4" t="inlineStr">
        <is>
          <t>Abhebung</t>
        </is>
      </c>
      <c r="E8" s="4" t="inlineStr">
        <is>
          <t>Windhoek</t>
        </is>
      </c>
      <c r="F8" s="4" t="inlineStr">
        <is>
          <t>ATM WHKHKC01</t>
        </is>
      </c>
      <c r="G8" s="4" t="inlineStr">
        <is>
          <t>Bargeld</t>
        </is>
      </c>
      <c r="H8" s="12" t="n">
        <v>4047</v>
      </c>
      <c r="I8" s="4" t="inlineStr">
        <is>
          <t>NAD</t>
        </is>
      </c>
      <c r="J8" s="5" t="n">
        <v>217.2</v>
      </c>
      <c r="K8" s="4" t="inlineStr">
        <is>
          <t>Patrick</t>
        </is>
      </c>
      <c r="L8" s="4" t="inlineStr">
        <is>
          <t>Oberbank Debit</t>
        </is>
      </c>
      <c r="M8" s="13">
        <f>IF(AND(H8&lt;&gt;"",J8&lt;&gt;"",J8&lt;&gt;0),H8/J8,"")</f>
        <v/>
      </c>
      <c r="N8" s="6" t="inlineStr">
        <is>
          <t>Bargeldbezug in die Reisekasse - KEINE Ausgabe</t>
        </is>
      </c>
    </row>
    <row r="9">
      <c r="A9" s="4" t="n">
        <v>5</v>
      </c>
      <c r="B9" s="4" t="inlineStr">
        <is>
          <t>2026-09-03</t>
        </is>
      </c>
      <c r="C9" s="4" t="inlineStr">
        <is>
          <t>09:08</t>
        </is>
      </c>
      <c r="D9" s="4" t="inlineStr">
        <is>
          <t>Ausgabe</t>
        </is>
      </c>
      <c r="E9" s="4" t="inlineStr">
        <is>
          <t>Windhoek</t>
        </is>
      </c>
      <c r="F9" s="4" t="inlineStr">
        <is>
          <t>ATM Behebungsentgelt</t>
        </is>
      </c>
      <c r="G9" s="4" t="inlineStr">
        <is>
          <t>Gebühren</t>
        </is>
      </c>
      <c r="H9" s="12" t="n"/>
      <c r="I9" s="4" t="inlineStr">
        <is>
          <t>EUR</t>
        </is>
      </c>
      <c r="J9" s="5" t="n">
        <v>2.52</v>
      </c>
      <c r="K9" s="4" t="inlineStr">
        <is>
          <t>Patrick</t>
        </is>
      </c>
      <c r="L9" s="4" t="inlineStr">
        <is>
          <t>Oberbank Debit</t>
        </is>
      </c>
      <c r="M9" s="13">
        <f>IF(AND(H9&lt;&gt;"",J9&lt;&gt;"",J9&lt;&gt;0),H9/J9,"")</f>
        <v/>
      </c>
      <c r="N9" s="6" t="inlineStr">
        <is>
          <t>Entgelt zur Abhebung Nr. 4</t>
        </is>
      </c>
    </row>
    <row r="10">
      <c r="A10" s="4" t="n">
        <v>6</v>
      </c>
      <c r="B10" s="4" t="inlineStr">
        <is>
          <t>2026-09-03</t>
        </is>
      </c>
      <c r="C10" s="4" t="inlineStr">
        <is>
          <t>12:26</t>
        </is>
      </c>
      <c r="D10" s="4" t="inlineStr">
        <is>
          <t>Ausgabe</t>
        </is>
      </c>
      <c r="E10" s="4" t="inlineStr">
        <is>
          <t>Windhoek</t>
        </is>
      </c>
      <c r="F10" s="4" t="inlineStr">
        <is>
          <t>Superspar Maerua Mall</t>
        </is>
      </c>
      <c r="G10" s="4" t="inlineStr">
        <is>
          <t>Lebensmittel</t>
        </is>
      </c>
      <c r="H10" s="12" t="n">
        <v>3122.63</v>
      </c>
      <c r="I10" s="4" t="inlineStr">
        <is>
          <t>NAD</t>
        </is>
      </c>
      <c r="J10" s="5" t="n">
        <v>169.22</v>
      </c>
      <c r="K10" s="4" t="inlineStr">
        <is>
          <t>Patrick</t>
        </is>
      </c>
      <c r="L10" s="4" t="inlineStr">
        <is>
          <t>Oberbank Debit?</t>
        </is>
      </c>
      <c r="M10" s="13">
        <f>IF(AND(H10&lt;&gt;"",J10&lt;&gt;"",J10&lt;&gt;0),H10/J10,"")</f>
        <v/>
      </c>
      <c r="N10" s="6" t="inlineStr">
        <is>
          <t>Grosseinkauf Camping-Proviant</t>
        </is>
      </c>
    </row>
    <row r="11">
      <c r="A11" s="7" t="n">
        <v>7</v>
      </c>
      <c r="B11" s="7" t="inlineStr">
        <is>
          <t>2026-09-03</t>
        </is>
      </c>
      <c r="C11" s="7" t="inlineStr">
        <is>
          <t>13:51</t>
        </is>
      </c>
      <c r="D11" s="7" t="inlineStr">
        <is>
          <t>Ausgabe</t>
        </is>
      </c>
      <c r="E11" s="7" t="inlineStr">
        <is>
          <t>Rehoboth</t>
        </is>
      </c>
      <c r="F11" s="7" t="inlineStr">
        <is>
          <t>Agrimark Rehoboth Express</t>
        </is>
      </c>
      <c r="G11" s="7" t="inlineStr">
        <is>
          <t>Ausrüstung</t>
        </is>
      </c>
      <c r="H11" s="14" t="n">
        <v>1343.3</v>
      </c>
      <c r="I11" s="7" t="inlineStr">
        <is>
          <t>NAD</t>
        </is>
      </c>
      <c r="J11" s="8" t="n">
        <v>73.42</v>
      </c>
      <c r="K11" s="7" t="inlineStr">
        <is>
          <t>Patrick</t>
        </is>
      </c>
      <c r="L11" s="7" t="inlineStr">
        <is>
          <t>Oberbank Debit?</t>
        </is>
      </c>
      <c r="M11" s="15">
        <f>IF(AND(H11&lt;&gt;"",J11&lt;&gt;"",J11&lt;&gt;0),H11/J11,"")</f>
        <v/>
      </c>
      <c r="N11" s="9" t="inlineStr">
        <is>
          <t>KATEGORIE UNKLAR - Agrimark = Landhandel (Gas/Holz/Ausruestung/Lebensmittel?)</t>
        </is>
      </c>
    </row>
    <row r="12">
      <c r="A12" s="4" t="n">
        <v>8</v>
      </c>
      <c r="B12" s="4" t="inlineStr">
        <is>
          <t>2026-09-05</t>
        </is>
      </c>
      <c r="C12" s="4" t="inlineStr"/>
      <c r="D12" s="4" t="inlineStr">
        <is>
          <t>Ausgabe</t>
        </is>
      </c>
      <c r="E12" s="4" t="inlineStr">
        <is>
          <t>Quiver Tree Forest</t>
        </is>
      </c>
      <c r="F12" s="4" t="inlineStr">
        <is>
          <t>Quivertree Forest Camping</t>
        </is>
      </c>
      <c r="G12" s="4" t="inlineStr">
        <is>
          <t>Unterkunft</t>
        </is>
      </c>
      <c r="H12" s="12" t="n">
        <v>720</v>
      </c>
      <c r="I12" s="4" t="inlineStr">
        <is>
          <t>NAD</t>
        </is>
      </c>
      <c r="J12" s="5" t="n">
        <v>38.64</v>
      </c>
      <c r="K12" s="4" t="inlineStr">
        <is>
          <t>Patrick</t>
        </is>
      </c>
      <c r="L12" s="4" t="inlineStr">
        <is>
          <t>Bargeld</t>
        </is>
      </c>
      <c r="M12" s="13">
        <f>IF(AND(H12&lt;&gt;"",J12&lt;&gt;"",J12&lt;&gt;0),H12/J12,"")</f>
        <v/>
      </c>
      <c r="N12" s="6" t="inlineStr">
        <is>
          <t>Bar aus der Reisekasse; EUR zum ATM-Kurs 18.633 NAD/EUR umgerechnet</t>
        </is>
      </c>
    </row>
    <row r="13">
      <c r="A13" s="4" t="n">
        <v>9</v>
      </c>
      <c r="B13" s="4" t="inlineStr">
        <is>
          <t>2026-09-04</t>
        </is>
      </c>
      <c r="C13" s="4" t="inlineStr">
        <is>
          <t>11:58</t>
        </is>
      </c>
      <c r="D13" s="4" t="inlineStr">
        <is>
          <t>Ausgabe</t>
        </is>
      </c>
      <c r="E13" s="4" t="inlineStr">
        <is>
          <t>Mariental</t>
        </is>
      </c>
      <c r="F13" s="4" t="inlineStr">
        <is>
          <t>Spar Mariental</t>
        </is>
      </c>
      <c r="G13" s="4" t="inlineStr">
        <is>
          <t>Lebensmittel</t>
        </is>
      </c>
      <c r="H13" s="12" t="n"/>
      <c r="I13" s="4" t="inlineStr">
        <is>
          <t>EUR</t>
        </is>
      </c>
      <c r="J13" s="5" t="n">
        <v>20.11</v>
      </c>
      <c r="K13" s="4" t="inlineStr">
        <is>
          <t>Nora</t>
        </is>
      </c>
      <c r="L13" s="4" t="inlineStr">
        <is>
          <t>N26 Debit</t>
        </is>
      </c>
      <c r="M13" s="13">
        <f>IF(AND(H13&lt;&gt;"",J13&lt;&gt;"",J13&lt;&gt;0),H13/J13,"")</f>
        <v/>
      </c>
      <c r="N13" s="6" t="inlineStr"/>
    </row>
    <row r="14">
      <c r="A14" s="4" t="n">
        <v>10</v>
      </c>
      <c r="B14" s="4" t="inlineStr">
        <is>
          <t>2026-09-05</t>
        </is>
      </c>
      <c r="C14" s="4" t="inlineStr">
        <is>
          <t>12:19</t>
        </is>
      </c>
      <c r="D14" s="4" t="inlineStr">
        <is>
          <t>Ausgabe</t>
        </is>
      </c>
      <c r="E14" s="4" t="inlineStr">
        <is>
          <t>Keetmanshoop</t>
        </is>
      </c>
      <c r="F14" s="4" t="inlineStr">
        <is>
          <t>Agra Keetmanshoop - Fo</t>
        </is>
      </c>
      <c r="G14" s="4" t="inlineStr">
        <is>
          <t>Tanken</t>
        </is>
      </c>
      <c r="H14" s="12" t="n"/>
      <c r="I14" s="4" t="inlineStr">
        <is>
          <t>EUR</t>
        </is>
      </c>
      <c r="J14" s="5" t="n">
        <v>98.15000000000001</v>
      </c>
      <c r="K14" s="4" t="inlineStr">
        <is>
          <t>Nora</t>
        </is>
      </c>
      <c r="L14" s="4" t="inlineStr">
        <is>
          <t>N26 Debit</t>
        </is>
      </c>
      <c r="M14" s="13">
        <f>IF(AND(H14&lt;&gt;"",J14&lt;&gt;"",J14&lt;&gt;0),H14/J14,"")</f>
        <v/>
      </c>
      <c r="N14" s="6" t="inlineStr">
        <is>
          <t>KATEGORIE ZU BESTAETIGEN - Agra ist Landhandel mit Tankstelle; N26 kategorisiert als Transport &amp; Auto</t>
        </is>
      </c>
    </row>
    <row r="15">
      <c r="A15" s="4" t="n">
        <v>11</v>
      </c>
      <c r="B15" s="4" t="inlineStr">
        <is>
          <t>2026-09-05</t>
        </is>
      </c>
      <c r="C15" s="4" t="inlineStr">
        <is>
          <t>15:00</t>
        </is>
      </c>
      <c r="D15" s="4" t="inlineStr">
        <is>
          <t>Ausgabe</t>
        </is>
      </c>
      <c r="E15" s="4" t="inlineStr">
        <is>
          <t>Aus</t>
        </is>
      </c>
      <c r="F15" s="4" t="inlineStr">
        <is>
          <t>Klein Aus Vista Lodge</t>
        </is>
      </c>
      <c r="G15" s="4" t="inlineStr">
        <is>
          <t>Unterkunft</t>
        </is>
      </c>
      <c r="H15" s="12" t="n"/>
      <c r="I15" s="4" t="inlineStr">
        <is>
          <t>EUR</t>
        </is>
      </c>
      <c r="J15" s="5" t="n">
        <v>100.91</v>
      </c>
      <c r="K15" s="4" t="inlineStr">
        <is>
          <t>Nora</t>
        </is>
      </c>
      <c r="L15" s="4" t="inlineStr">
        <is>
          <t>N26 Debit</t>
        </is>
      </c>
      <c r="M15" s="13">
        <f>IF(AND(H15&lt;&gt;"",J15&lt;&gt;"",J15&lt;&gt;0),H15/J15,"")</f>
        <v/>
      </c>
      <c r="N15" s="6" t="inlineStr">
        <is>
          <t>BETRAG PRUEFEN - Restzahlung Desert Horse Campsite (2 Naechte); geplant waren 48 EUR gesamt inkl. 24 EUR Deposit</t>
        </is>
      </c>
    </row>
    <row r="16">
      <c r="A16" s="4" t="n">
        <v>12</v>
      </c>
      <c r="B16" s="4" t="inlineStr">
        <is>
          <t>2026-09-06</t>
        </is>
      </c>
      <c r="C16" s="4" t="inlineStr">
        <is>
          <t>08:24</t>
        </is>
      </c>
      <c r="D16" s="4" t="inlineStr">
        <is>
          <t>Ausgabe</t>
        </is>
      </c>
      <c r="E16" s="4" t="inlineStr">
        <is>
          <t>Kolmanskop</t>
        </is>
      </c>
      <c r="F16" s="4" t="inlineStr">
        <is>
          <t>Ghost Town Tours CC</t>
        </is>
      </c>
      <c r="G16" s="4" t="inlineStr">
        <is>
          <t>Aktivitäten</t>
        </is>
      </c>
      <c r="H16" s="12" t="n"/>
      <c r="I16" s="4" t="inlineStr">
        <is>
          <t>EUR</t>
        </is>
      </c>
      <c r="J16" s="5" t="n">
        <v>24.96</v>
      </c>
      <c r="K16" s="4" t="inlineStr">
        <is>
          <t>Nora</t>
        </is>
      </c>
      <c r="L16" s="4" t="inlineStr">
        <is>
          <t>N26 Debit</t>
        </is>
      </c>
      <c r="M16" s="13">
        <f>IF(AND(H16&lt;&gt;"",J16&lt;&gt;"",J16&lt;&gt;0),H16/J16,"")</f>
        <v/>
      </c>
      <c r="N16" s="6" t="inlineStr">
        <is>
          <t>Geisterstadt-Tour Kolmanskop</t>
        </is>
      </c>
    </row>
    <row r="17">
      <c r="A17" s="4" t="n">
        <v>13</v>
      </c>
      <c r="B17" s="4" t="inlineStr">
        <is>
          <t>2026-09-06</t>
        </is>
      </c>
      <c r="C17" s="4" t="inlineStr">
        <is>
          <t>11:24</t>
        </is>
      </c>
      <c r="D17" s="4" t="inlineStr">
        <is>
          <t>Ausgabe</t>
        </is>
      </c>
      <c r="E17" s="4" t="inlineStr">
        <is>
          <t>Aus</t>
        </is>
      </c>
      <c r="F17" s="4" t="inlineStr">
        <is>
          <t>Desert Deli</t>
        </is>
      </c>
      <c r="G17" s="4" t="inlineStr">
        <is>
          <t>Restaurant</t>
        </is>
      </c>
      <c r="H17" s="12" t="n"/>
      <c r="I17" s="4" t="inlineStr">
        <is>
          <t>EUR</t>
        </is>
      </c>
      <c r="J17" s="5" t="n">
        <v>4.72</v>
      </c>
      <c r="K17" s="4" t="inlineStr">
        <is>
          <t>Nora</t>
        </is>
      </c>
      <c r="L17" s="4" t="inlineStr">
        <is>
          <t>N26 Debit</t>
        </is>
      </c>
      <c r="M17" s="13">
        <f>IF(AND(H17&lt;&gt;"",J17&lt;&gt;"",J17&lt;&gt;0),H17/J17,"")</f>
        <v/>
      </c>
      <c r="N17" s="6" t="inlineStr"/>
    </row>
    <row r="18">
      <c r="A18" s="4" t="n">
        <v>14</v>
      </c>
      <c r="B18" s="4" t="inlineStr">
        <is>
          <t>2026-09-06</t>
        </is>
      </c>
      <c r="C18" s="4" t="inlineStr">
        <is>
          <t>12:46</t>
        </is>
      </c>
      <c r="D18" s="4" t="inlineStr">
        <is>
          <t>Ausgabe</t>
        </is>
      </c>
      <c r="E18" s="4" t="inlineStr">
        <is>
          <t>Lüderitz</t>
        </is>
      </c>
      <c r="F18" s="4" t="inlineStr">
        <is>
          <t>Portugues Fisherman</t>
        </is>
      </c>
      <c r="G18" s="4" t="inlineStr">
        <is>
          <t>Restaurant</t>
        </is>
      </c>
      <c r="H18" s="12" t="n"/>
      <c r="I18" s="4" t="inlineStr">
        <is>
          <t>EUR</t>
        </is>
      </c>
      <c r="J18" s="5" t="n">
        <v>45.57</v>
      </c>
      <c r="K18" s="4" t="inlineStr">
        <is>
          <t>Nora</t>
        </is>
      </c>
      <c r="L18" s="4" t="inlineStr">
        <is>
          <t>N26 Debit</t>
        </is>
      </c>
      <c r="M18" s="13">
        <f>IF(AND(H18&lt;&gt;"",J18&lt;&gt;"",J18&lt;&gt;0),H18/J18,"")</f>
        <v/>
      </c>
      <c r="N18" s="6" t="inlineStr"/>
    </row>
    <row r="19">
      <c r="A19" s="4" t="n">
        <v>15</v>
      </c>
      <c r="B19" s="4" t="inlineStr">
        <is>
          <t>2026-09-06</t>
        </is>
      </c>
      <c r="C19" s="4" t="inlineStr">
        <is>
          <t>13:43</t>
        </is>
      </c>
      <c r="D19" s="4" t="inlineStr">
        <is>
          <t>Ausgabe</t>
        </is>
      </c>
      <c r="E19" s="4" t="inlineStr">
        <is>
          <t>Lüderitz</t>
        </is>
      </c>
      <c r="F19" s="4" t="inlineStr">
        <is>
          <t>Spar Lüderitz</t>
        </is>
      </c>
      <c r="G19" s="4" t="inlineStr">
        <is>
          <t>Lebensmittel</t>
        </is>
      </c>
      <c r="H19" s="12" t="n"/>
      <c r="I19" s="4" t="inlineStr">
        <is>
          <t>EUR</t>
        </is>
      </c>
      <c r="J19" s="5" t="n">
        <v>38.38</v>
      </c>
      <c r="K19" s="4" t="inlineStr">
        <is>
          <t>Nora</t>
        </is>
      </c>
      <c r="L19" s="4" t="inlineStr">
        <is>
          <t>N26 Debit</t>
        </is>
      </c>
      <c r="M19" s="13">
        <f>IF(AND(H19&lt;&gt;"",J19&lt;&gt;"",J19&lt;&gt;0),H19/J19,"")</f>
        <v/>
      </c>
      <c r="N19" s="6" t="inlineStr"/>
    </row>
    <row r="20">
      <c r="A20" s="4" t="n">
        <v>16</v>
      </c>
      <c r="B20" s="4" t="inlineStr">
        <is>
          <t>2026-09-06</t>
        </is>
      </c>
      <c r="C20" s="4" t="inlineStr">
        <is>
          <t>13:54</t>
        </is>
      </c>
      <c r="D20" s="4" t="inlineStr">
        <is>
          <t>Ausgabe</t>
        </is>
      </c>
      <c r="E20" s="4" t="inlineStr">
        <is>
          <t>Lüderitz</t>
        </is>
      </c>
      <c r="F20" s="4" t="inlineStr">
        <is>
          <t>Studio88 Lüderitz</t>
        </is>
      </c>
      <c r="G20" s="4" t="inlineStr">
        <is>
          <t>Shopping</t>
        </is>
      </c>
      <c r="H20" s="12" t="n"/>
      <c r="I20" s="4" t="inlineStr">
        <is>
          <t>EUR</t>
        </is>
      </c>
      <c r="J20" s="5" t="n">
        <v>20.07</v>
      </c>
      <c r="K20" s="4" t="inlineStr">
        <is>
          <t>Nora</t>
        </is>
      </c>
      <c r="L20" s="4" t="inlineStr">
        <is>
          <t>N26 Debit</t>
        </is>
      </c>
      <c r="M20" s="13">
        <f>IF(AND(H20&lt;&gt;"",J20&lt;&gt;"",J20&lt;&gt;0),H20/J20,"")</f>
        <v/>
      </c>
      <c r="N20" s="6" t="inlineStr"/>
    </row>
    <row r="21">
      <c r="A21" s="4" t="n">
        <v>17</v>
      </c>
      <c r="B21" s="4" t="inlineStr">
        <is>
          <t>2026-09-06</t>
        </is>
      </c>
      <c r="C21" s="4" t="inlineStr">
        <is>
          <t>14:19</t>
        </is>
      </c>
      <c r="D21" s="4" t="inlineStr">
        <is>
          <t>Ausgabe</t>
        </is>
      </c>
      <c r="E21" s="4" t="inlineStr">
        <is>
          <t>Lüderitz</t>
        </is>
      </c>
      <c r="F21" s="4" t="inlineStr">
        <is>
          <t>Lüderitz Fuel Center</t>
        </is>
      </c>
      <c r="G21" s="4" t="inlineStr">
        <is>
          <t>Tanken</t>
        </is>
      </c>
      <c r="H21" s="12" t="n"/>
      <c r="I21" s="4" t="inlineStr">
        <is>
          <t>EUR</t>
        </is>
      </c>
      <c r="J21" s="5" t="n">
        <v>60.2</v>
      </c>
      <c r="K21" s="4" t="inlineStr">
        <is>
          <t>Nora</t>
        </is>
      </c>
      <c r="L21" s="4" t="inlineStr">
        <is>
          <t>N26 Debit</t>
        </is>
      </c>
      <c r="M21" s="13">
        <f>IF(AND(H21&lt;&gt;"",J21&lt;&gt;"",J21&lt;&gt;0),H21/J21,"")</f>
        <v/>
      </c>
      <c r="N21" s="6" t="inlineStr"/>
    </row>
    <row r="22">
      <c r="A22" s="4" t="n"/>
      <c r="B22" s="4" t="n"/>
      <c r="C22" s="4" t="n"/>
      <c r="D22" s="4" t="n"/>
      <c r="E22" s="4" t="n"/>
      <c r="F22" s="4" t="n"/>
      <c r="G22" s="4" t="n"/>
      <c r="H22" s="12" t="n"/>
      <c r="I22" s="4" t="n"/>
      <c r="J22" s="5" t="n"/>
      <c r="K22" s="4" t="n"/>
      <c r="L22" s="4" t="n"/>
      <c r="M22" s="13">
        <f>IF(AND(H22&lt;&gt;"",J22&lt;&gt;"",J22&lt;&gt;0),H22/J22,"")</f>
        <v/>
      </c>
      <c r="N22" s="6" t="n"/>
    </row>
    <row r="23">
      <c r="A23" s="4" t="n"/>
      <c r="B23" s="4" t="n"/>
      <c r="C23" s="4" t="n"/>
      <c r="D23" s="4" t="n"/>
      <c r="E23" s="4" t="n"/>
      <c r="F23" s="4" t="n"/>
      <c r="G23" s="4" t="n"/>
      <c r="H23" s="12" t="n"/>
      <c r="I23" s="4" t="n"/>
      <c r="J23" s="5" t="n"/>
      <c r="K23" s="4" t="n"/>
      <c r="L23" s="4" t="n"/>
      <c r="M23" s="13">
        <f>IF(AND(H23&lt;&gt;"",J23&lt;&gt;"",J23&lt;&gt;0),H23/J23,"")</f>
        <v/>
      </c>
      <c r="N23" s="6" t="n"/>
    </row>
    <row r="24">
      <c r="A24" s="4" t="n"/>
      <c r="B24" s="4" t="n"/>
      <c r="C24" s="4" t="n"/>
      <c r="D24" s="4" t="n"/>
      <c r="E24" s="4" t="n"/>
      <c r="F24" s="4" t="n"/>
      <c r="G24" s="4" t="n"/>
      <c r="H24" s="12" t="n"/>
      <c r="I24" s="4" t="n"/>
      <c r="J24" s="5" t="n"/>
      <c r="K24" s="4" t="n"/>
      <c r="L24" s="4" t="n"/>
      <c r="M24" s="13">
        <f>IF(AND(H24&lt;&gt;"",J24&lt;&gt;"",J24&lt;&gt;0),H24/J24,"")</f>
        <v/>
      </c>
      <c r="N24" s="6" t="n"/>
    </row>
    <row r="25">
      <c r="A25" s="4" t="n"/>
      <c r="B25" s="4" t="n"/>
      <c r="C25" s="4" t="n"/>
      <c r="D25" s="4" t="n"/>
      <c r="E25" s="4" t="n"/>
      <c r="F25" s="4" t="n"/>
      <c r="G25" s="4" t="n"/>
      <c r="H25" s="12" t="n"/>
      <c r="I25" s="4" t="n"/>
      <c r="J25" s="5" t="n"/>
      <c r="K25" s="4" t="n"/>
      <c r="L25" s="4" t="n"/>
      <c r="M25" s="13">
        <f>IF(AND(H25&lt;&gt;"",J25&lt;&gt;"",J25&lt;&gt;0),H25/J25,"")</f>
        <v/>
      </c>
      <c r="N25" s="6" t="n"/>
    </row>
    <row r="26">
      <c r="A26" s="4" t="n"/>
      <c r="B26" s="4" t="n"/>
      <c r="C26" s="4" t="n"/>
      <c r="D26" s="4" t="n"/>
      <c r="E26" s="4" t="n"/>
      <c r="F26" s="4" t="n"/>
      <c r="G26" s="4" t="n"/>
      <c r="H26" s="12" t="n"/>
      <c r="I26" s="4" t="n"/>
      <c r="J26" s="5" t="n"/>
      <c r="K26" s="4" t="n"/>
      <c r="L26" s="4" t="n"/>
      <c r="M26" s="13">
        <f>IF(AND(H26&lt;&gt;"",J26&lt;&gt;"",J26&lt;&gt;0),H26/J26,"")</f>
        <v/>
      </c>
      <c r="N26" s="6" t="n"/>
    </row>
    <row r="27">
      <c r="A27" s="4" t="n"/>
      <c r="B27" s="4" t="n"/>
      <c r="C27" s="4" t="n"/>
      <c r="D27" s="4" t="n"/>
      <c r="E27" s="4" t="n"/>
      <c r="F27" s="4" t="n"/>
      <c r="G27" s="4" t="n"/>
      <c r="H27" s="12" t="n"/>
      <c r="I27" s="4" t="n"/>
      <c r="J27" s="5" t="n"/>
      <c r="K27" s="4" t="n"/>
      <c r="L27" s="4" t="n"/>
      <c r="M27" s="13">
        <f>IF(AND(H27&lt;&gt;"",J27&lt;&gt;"",J27&lt;&gt;0),H27/J27,"")</f>
        <v/>
      </c>
      <c r="N27" s="6" t="n"/>
    </row>
    <row r="28">
      <c r="A28" s="4" t="n"/>
      <c r="B28" s="4" t="n"/>
      <c r="C28" s="4" t="n"/>
      <c r="D28" s="4" t="n"/>
      <c r="E28" s="4" t="n"/>
      <c r="F28" s="4" t="n"/>
      <c r="G28" s="4" t="n"/>
      <c r="H28" s="12" t="n"/>
      <c r="I28" s="4" t="n"/>
      <c r="J28" s="5" t="n"/>
      <c r="K28" s="4" t="n"/>
      <c r="L28" s="4" t="n"/>
      <c r="M28" s="13">
        <f>IF(AND(H28&lt;&gt;"",J28&lt;&gt;"",J28&lt;&gt;0),H28/J28,"")</f>
        <v/>
      </c>
      <c r="N28" s="6" t="n"/>
    </row>
    <row r="29">
      <c r="A29" s="4" t="n"/>
      <c r="B29" s="4" t="n"/>
      <c r="C29" s="4" t="n"/>
      <c r="D29" s="4" t="n"/>
      <c r="E29" s="4" t="n"/>
      <c r="F29" s="4" t="n"/>
      <c r="G29" s="4" t="n"/>
      <c r="H29" s="12" t="n"/>
      <c r="I29" s="4" t="n"/>
      <c r="J29" s="5" t="n"/>
      <c r="K29" s="4" t="n"/>
      <c r="L29" s="4" t="n"/>
      <c r="M29" s="13">
        <f>IF(AND(H29&lt;&gt;"",J29&lt;&gt;"",J29&lt;&gt;0),H29/J29,"")</f>
        <v/>
      </c>
      <c r="N29" s="6" t="n"/>
    </row>
    <row r="30">
      <c r="A30" s="4" t="n"/>
      <c r="B30" s="4" t="n"/>
      <c r="C30" s="4" t="n"/>
      <c r="D30" s="4" t="n"/>
      <c r="E30" s="4" t="n"/>
      <c r="F30" s="4" t="n"/>
      <c r="G30" s="4" t="n"/>
      <c r="H30" s="12" t="n"/>
      <c r="I30" s="4" t="n"/>
      <c r="J30" s="5" t="n"/>
      <c r="K30" s="4" t="n"/>
      <c r="L30" s="4" t="n"/>
      <c r="M30" s="13">
        <f>IF(AND(H30&lt;&gt;"",J30&lt;&gt;"",J30&lt;&gt;0),H30/J30,"")</f>
        <v/>
      </c>
      <c r="N30" s="6" t="n"/>
    </row>
    <row r="31">
      <c r="A31" s="4" t="n"/>
      <c r="B31" s="4" t="n"/>
      <c r="C31" s="4" t="n"/>
      <c r="D31" s="4" t="n"/>
      <c r="E31" s="4" t="n"/>
      <c r="F31" s="4" t="n"/>
      <c r="G31" s="4" t="n"/>
      <c r="H31" s="12" t="n"/>
      <c r="I31" s="4" t="n"/>
      <c r="J31" s="5" t="n"/>
      <c r="K31" s="4" t="n"/>
      <c r="L31" s="4" t="n"/>
      <c r="M31" s="13">
        <f>IF(AND(H31&lt;&gt;"",J31&lt;&gt;"",J31&lt;&gt;0),H31/J31,"")</f>
        <v/>
      </c>
      <c r="N31" s="6" t="n"/>
    </row>
    <row r="32">
      <c r="A32" s="4" t="n"/>
      <c r="B32" s="4" t="n"/>
      <c r="C32" s="4" t="n"/>
      <c r="D32" s="4" t="n"/>
      <c r="E32" s="4" t="n"/>
      <c r="F32" s="4" t="n"/>
      <c r="G32" s="4" t="n"/>
      <c r="H32" s="12" t="n"/>
      <c r="I32" s="4" t="n"/>
      <c r="J32" s="5" t="n"/>
      <c r="K32" s="4" t="n"/>
      <c r="L32" s="4" t="n"/>
      <c r="M32" s="13">
        <f>IF(AND(H32&lt;&gt;"",J32&lt;&gt;"",J32&lt;&gt;0),H32/J32,"")</f>
        <v/>
      </c>
      <c r="N32" s="6" t="n"/>
    </row>
    <row r="33">
      <c r="A33" s="4" t="n"/>
      <c r="B33" s="4" t="n"/>
      <c r="C33" s="4" t="n"/>
      <c r="D33" s="4" t="n"/>
      <c r="E33" s="4" t="n"/>
      <c r="F33" s="4" t="n"/>
      <c r="G33" s="4" t="n"/>
      <c r="H33" s="12" t="n"/>
      <c r="I33" s="4" t="n"/>
      <c r="J33" s="5" t="n"/>
      <c r="K33" s="4" t="n"/>
      <c r="L33" s="4" t="n"/>
      <c r="M33" s="13">
        <f>IF(AND(H33&lt;&gt;"",J33&lt;&gt;"",J33&lt;&gt;0),H33/J33,"")</f>
        <v/>
      </c>
      <c r="N33" s="6" t="n"/>
    </row>
    <row r="34">
      <c r="A34" s="4" t="n"/>
      <c r="B34" s="4" t="n"/>
      <c r="C34" s="4" t="n"/>
      <c r="D34" s="4" t="n"/>
      <c r="E34" s="4" t="n"/>
      <c r="F34" s="4" t="n"/>
      <c r="G34" s="4" t="n"/>
      <c r="H34" s="12" t="n"/>
      <c r="I34" s="4" t="n"/>
      <c r="J34" s="5" t="n"/>
      <c r="K34" s="4" t="n"/>
      <c r="L34" s="4" t="n"/>
      <c r="M34" s="13">
        <f>IF(AND(H34&lt;&gt;"",J34&lt;&gt;"",J34&lt;&gt;0),H34/J34,"")</f>
        <v/>
      </c>
      <c r="N34" s="6" t="n"/>
    </row>
    <row r="35">
      <c r="A35" s="4" t="n"/>
      <c r="B35" s="4" t="n"/>
      <c r="C35" s="4" t="n"/>
      <c r="D35" s="4" t="n"/>
      <c r="E35" s="4" t="n"/>
      <c r="F35" s="4" t="n"/>
      <c r="G35" s="4" t="n"/>
      <c r="H35" s="12" t="n"/>
      <c r="I35" s="4" t="n"/>
      <c r="J35" s="5" t="n"/>
      <c r="K35" s="4" t="n"/>
      <c r="L35" s="4" t="n"/>
      <c r="M35" s="13">
        <f>IF(AND(H35&lt;&gt;"",J35&lt;&gt;"",J35&lt;&gt;0),H35/J35,"")</f>
        <v/>
      </c>
      <c r="N35" s="6" t="n"/>
    </row>
    <row r="36">
      <c r="A36" s="4" t="n"/>
      <c r="B36" s="4" t="n"/>
      <c r="C36" s="4" t="n"/>
      <c r="D36" s="4" t="n"/>
      <c r="E36" s="4" t="n"/>
      <c r="F36" s="4" t="n"/>
      <c r="G36" s="4" t="n"/>
      <c r="H36" s="12" t="n"/>
      <c r="I36" s="4" t="n"/>
      <c r="J36" s="5" t="n"/>
      <c r="K36" s="4" t="n"/>
      <c r="L36" s="4" t="n"/>
      <c r="M36" s="13">
        <f>IF(AND(H36&lt;&gt;"",J36&lt;&gt;"",J36&lt;&gt;0),H36/J36,"")</f>
        <v/>
      </c>
      <c r="N36" s="6" t="n"/>
    </row>
    <row r="37">
      <c r="A37" s="4" t="n"/>
      <c r="B37" s="4" t="n"/>
      <c r="C37" s="4" t="n"/>
      <c r="D37" s="4" t="n"/>
      <c r="E37" s="4" t="n"/>
      <c r="F37" s="4" t="n"/>
      <c r="G37" s="4" t="n"/>
      <c r="H37" s="12" t="n"/>
      <c r="I37" s="4" t="n"/>
      <c r="J37" s="5" t="n"/>
      <c r="K37" s="4" t="n"/>
      <c r="L37" s="4" t="n"/>
      <c r="M37" s="13">
        <f>IF(AND(H37&lt;&gt;"",J37&lt;&gt;"",J37&lt;&gt;0),H37/J37,"")</f>
        <v/>
      </c>
      <c r="N37" s="6" t="n"/>
    </row>
    <row r="38">
      <c r="A38" s="4" t="n"/>
      <c r="B38" s="4" t="n"/>
      <c r="C38" s="4" t="n"/>
      <c r="D38" s="4" t="n"/>
      <c r="E38" s="4" t="n"/>
      <c r="F38" s="4" t="n"/>
      <c r="G38" s="4" t="n"/>
      <c r="H38" s="12" t="n"/>
      <c r="I38" s="4" t="n"/>
      <c r="J38" s="5" t="n"/>
      <c r="K38" s="4" t="n"/>
      <c r="L38" s="4" t="n"/>
      <c r="M38" s="13">
        <f>IF(AND(H38&lt;&gt;"",J38&lt;&gt;"",J38&lt;&gt;0),H38/J38,"")</f>
        <v/>
      </c>
      <c r="N38" s="6" t="n"/>
    </row>
    <row r="39">
      <c r="A39" s="4" t="n"/>
      <c r="B39" s="4" t="n"/>
      <c r="C39" s="4" t="n"/>
      <c r="D39" s="4" t="n"/>
      <c r="E39" s="4" t="n"/>
      <c r="F39" s="4" t="n"/>
      <c r="G39" s="4" t="n"/>
      <c r="H39" s="12" t="n"/>
      <c r="I39" s="4" t="n"/>
      <c r="J39" s="5" t="n"/>
      <c r="K39" s="4" t="n"/>
      <c r="L39" s="4" t="n"/>
      <c r="M39" s="13">
        <f>IF(AND(H39&lt;&gt;"",J39&lt;&gt;"",J39&lt;&gt;0),H39/J39,"")</f>
        <v/>
      </c>
      <c r="N39" s="6" t="n"/>
    </row>
    <row r="40">
      <c r="A40" s="4" t="n"/>
      <c r="B40" s="4" t="n"/>
      <c r="C40" s="4" t="n"/>
      <c r="D40" s="4" t="n"/>
      <c r="E40" s="4" t="n"/>
      <c r="F40" s="4" t="n"/>
      <c r="G40" s="4" t="n"/>
      <c r="H40" s="12" t="n"/>
      <c r="I40" s="4" t="n"/>
      <c r="J40" s="5" t="n"/>
      <c r="K40" s="4" t="n"/>
      <c r="L40" s="4" t="n"/>
      <c r="M40" s="13">
        <f>IF(AND(H40&lt;&gt;"",J40&lt;&gt;"",J40&lt;&gt;0),H40/J40,"")</f>
        <v/>
      </c>
      <c r="N40" s="6" t="n"/>
    </row>
    <row r="41">
      <c r="A41" s="4" t="n"/>
      <c r="B41" s="4" t="n"/>
      <c r="C41" s="4" t="n"/>
      <c r="D41" s="4" t="n"/>
      <c r="E41" s="4" t="n"/>
      <c r="F41" s="4" t="n"/>
      <c r="G41" s="4" t="n"/>
      <c r="H41" s="12" t="n"/>
      <c r="I41" s="4" t="n"/>
      <c r="J41" s="5" t="n"/>
      <c r="K41" s="4" t="n"/>
      <c r="L41" s="4" t="n"/>
      <c r="M41" s="13">
        <f>IF(AND(H41&lt;&gt;"",J41&lt;&gt;"",J41&lt;&gt;0),H41/J41,"")</f>
        <v/>
      </c>
      <c r="N41" s="6" t="n"/>
    </row>
    <row r="42">
      <c r="A42" s="4" t="n"/>
      <c r="B42" s="4" t="n"/>
      <c r="C42" s="4" t="n"/>
      <c r="D42" s="4" t="n"/>
      <c r="E42" s="4" t="n"/>
      <c r="F42" s="4" t="n"/>
      <c r="G42" s="4" t="n"/>
      <c r="H42" s="12" t="n"/>
      <c r="I42" s="4" t="n"/>
      <c r="J42" s="5" t="n"/>
      <c r="K42" s="4" t="n"/>
      <c r="L42" s="4" t="n"/>
      <c r="M42" s="13">
        <f>IF(AND(H42&lt;&gt;"",J42&lt;&gt;"",J42&lt;&gt;0),H42/J42,"")</f>
        <v/>
      </c>
      <c r="N42" s="6" t="n"/>
    </row>
    <row r="43">
      <c r="A43" s="4" t="n"/>
      <c r="B43" s="4" t="n"/>
      <c r="C43" s="4" t="n"/>
      <c r="D43" s="4" t="n"/>
      <c r="E43" s="4" t="n"/>
      <c r="F43" s="4" t="n"/>
      <c r="G43" s="4" t="n"/>
      <c r="H43" s="12" t="n"/>
      <c r="I43" s="4" t="n"/>
      <c r="J43" s="5" t="n"/>
      <c r="K43" s="4" t="n"/>
      <c r="L43" s="4" t="n"/>
      <c r="M43" s="13">
        <f>IF(AND(H43&lt;&gt;"",J43&lt;&gt;"",J43&lt;&gt;0),H43/J43,"")</f>
        <v/>
      </c>
      <c r="N43" s="6" t="n"/>
    </row>
    <row r="44">
      <c r="A44" s="4" t="n"/>
      <c r="B44" s="4" t="n"/>
      <c r="C44" s="4" t="n"/>
      <c r="D44" s="4" t="n"/>
      <c r="E44" s="4" t="n"/>
      <c r="F44" s="4" t="n"/>
      <c r="G44" s="4" t="n"/>
      <c r="H44" s="12" t="n"/>
      <c r="I44" s="4" t="n"/>
      <c r="J44" s="5" t="n"/>
      <c r="K44" s="4" t="n"/>
      <c r="L44" s="4" t="n"/>
      <c r="M44" s="13">
        <f>IF(AND(H44&lt;&gt;"",J44&lt;&gt;"",J44&lt;&gt;0),H44/J44,"")</f>
        <v/>
      </c>
      <c r="N44" s="6" t="n"/>
    </row>
    <row r="45">
      <c r="A45" s="4" t="n"/>
      <c r="B45" s="4" t="n"/>
      <c r="C45" s="4" t="n"/>
      <c r="D45" s="4" t="n"/>
      <c r="E45" s="4" t="n"/>
      <c r="F45" s="4" t="n"/>
      <c r="G45" s="4" t="n"/>
      <c r="H45" s="12" t="n"/>
      <c r="I45" s="4" t="n"/>
      <c r="J45" s="5" t="n"/>
      <c r="K45" s="4" t="n"/>
      <c r="L45" s="4" t="n"/>
      <c r="M45" s="13">
        <f>IF(AND(H45&lt;&gt;"",J45&lt;&gt;"",J45&lt;&gt;0),H45/J45,"")</f>
        <v/>
      </c>
      <c r="N45" s="6" t="n"/>
    </row>
    <row r="46">
      <c r="A46" s="4" t="n"/>
      <c r="B46" s="4" t="n"/>
      <c r="C46" s="4" t="n"/>
      <c r="D46" s="4" t="n"/>
      <c r="E46" s="4" t="n"/>
      <c r="F46" s="4" t="n"/>
      <c r="G46" s="4" t="n"/>
      <c r="H46" s="12" t="n"/>
      <c r="I46" s="4" t="n"/>
      <c r="J46" s="5" t="n"/>
      <c r="K46" s="4" t="n"/>
      <c r="L46" s="4" t="n"/>
      <c r="M46" s="13">
        <f>IF(AND(H46&lt;&gt;"",J46&lt;&gt;"",J46&lt;&gt;0),H46/J46,"")</f>
        <v/>
      </c>
      <c r="N46" s="6" t="n"/>
    </row>
    <row r="47">
      <c r="A47" s="4" t="n"/>
      <c r="B47" s="4" t="n"/>
      <c r="C47" s="4" t="n"/>
      <c r="D47" s="4" t="n"/>
      <c r="E47" s="4" t="n"/>
      <c r="F47" s="4" t="n"/>
      <c r="G47" s="4" t="n"/>
      <c r="H47" s="12" t="n"/>
      <c r="I47" s="4" t="n"/>
      <c r="J47" s="5" t="n"/>
      <c r="K47" s="4" t="n"/>
      <c r="L47" s="4" t="n"/>
      <c r="M47" s="13">
        <f>IF(AND(H47&lt;&gt;"",J47&lt;&gt;"",J47&lt;&gt;0),H47/J47,"")</f>
        <v/>
      </c>
      <c r="N47" s="6" t="n"/>
    </row>
    <row r="48">
      <c r="A48" s="4" t="n"/>
      <c r="B48" s="4" t="n"/>
      <c r="C48" s="4" t="n"/>
      <c r="D48" s="4" t="n"/>
      <c r="E48" s="4" t="n"/>
      <c r="F48" s="4" t="n"/>
      <c r="G48" s="4" t="n"/>
      <c r="H48" s="12" t="n"/>
      <c r="I48" s="4" t="n"/>
      <c r="J48" s="5" t="n"/>
      <c r="K48" s="4" t="n"/>
      <c r="L48" s="4" t="n"/>
      <c r="M48" s="13">
        <f>IF(AND(H48&lt;&gt;"",J48&lt;&gt;"",J48&lt;&gt;0),H48/J48,"")</f>
        <v/>
      </c>
      <c r="N48" s="6" t="n"/>
    </row>
    <row r="49">
      <c r="A49" s="4" t="n"/>
      <c r="B49" s="4" t="n"/>
      <c r="C49" s="4" t="n"/>
      <c r="D49" s="4" t="n"/>
      <c r="E49" s="4" t="n"/>
      <c r="F49" s="4" t="n"/>
      <c r="G49" s="4" t="n"/>
      <c r="H49" s="12" t="n"/>
      <c r="I49" s="4" t="n"/>
      <c r="J49" s="5" t="n"/>
      <c r="K49" s="4" t="n"/>
      <c r="L49" s="4" t="n"/>
      <c r="M49" s="13">
        <f>IF(AND(H49&lt;&gt;"",J49&lt;&gt;"",J49&lt;&gt;0),H49/J49,"")</f>
        <v/>
      </c>
      <c r="N49" s="6" t="n"/>
    </row>
    <row r="50">
      <c r="A50" s="4" t="n"/>
      <c r="B50" s="4" t="n"/>
      <c r="C50" s="4" t="n"/>
      <c r="D50" s="4" t="n"/>
      <c r="E50" s="4" t="n"/>
      <c r="F50" s="4" t="n"/>
      <c r="G50" s="4" t="n"/>
      <c r="H50" s="12" t="n"/>
      <c r="I50" s="4" t="n"/>
      <c r="J50" s="5" t="n"/>
      <c r="K50" s="4" t="n"/>
      <c r="L50" s="4" t="n"/>
      <c r="M50" s="13">
        <f>IF(AND(H50&lt;&gt;"",J50&lt;&gt;"",J50&lt;&gt;0),H50/J50,"")</f>
        <v/>
      </c>
      <c r="N50" s="6" t="n"/>
    </row>
    <row r="51">
      <c r="A51" s="4" t="n"/>
      <c r="B51" s="4" t="n"/>
      <c r="C51" s="4" t="n"/>
      <c r="D51" s="4" t="n"/>
      <c r="E51" s="4" t="n"/>
      <c r="F51" s="4" t="n"/>
      <c r="G51" s="4" t="n"/>
      <c r="H51" s="12" t="n"/>
      <c r="I51" s="4" t="n"/>
      <c r="J51" s="5" t="n"/>
      <c r="K51" s="4" t="n"/>
      <c r="L51" s="4" t="n"/>
      <c r="M51" s="13">
        <f>IF(AND(H51&lt;&gt;"",J51&lt;&gt;"",J51&lt;&gt;0),H51/J51,"")</f>
        <v/>
      </c>
      <c r="N51" s="6" t="n"/>
    </row>
    <row r="52">
      <c r="A52" s="4" t="n"/>
      <c r="B52" s="4" t="n"/>
      <c r="C52" s="4" t="n"/>
      <c r="D52" s="4" t="n"/>
      <c r="E52" s="4" t="n"/>
      <c r="F52" s="4" t="n"/>
      <c r="G52" s="4" t="n"/>
      <c r="H52" s="12" t="n"/>
      <c r="I52" s="4" t="n"/>
      <c r="J52" s="5" t="n"/>
      <c r="K52" s="4" t="n"/>
      <c r="L52" s="4" t="n"/>
      <c r="M52" s="13">
        <f>IF(AND(H52&lt;&gt;"",J52&lt;&gt;"",J52&lt;&gt;0),H52/J52,"")</f>
        <v/>
      </c>
      <c r="N52" s="6" t="n"/>
    </row>
    <row r="53">
      <c r="A53" s="4" t="n"/>
      <c r="B53" s="4" t="n"/>
      <c r="C53" s="4" t="n"/>
      <c r="D53" s="4" t="n"/>
      <c r="E53" s="4" t="n"/>
      <c r="F53" s="4" t="n"/>
      <c r="G53" s="4" t="n"/>
      <c r="H53" s="12" t="n"/>
      <c r="I53" s="4" t="n"/>
      <c r="J53" s="5" t="n"/>
      <c r="K53" s="4" t="n"/>
      <c r="L53" s="4" t="n"/>
      <c r="M53" s="13">
        <f>IF(AND(H53&lt;&gt;"",J53&lt;&gt;"",J53&lt;&gt;0),H53/J53,"")</f>
        <v/>
      </c>
      <c r="N53" s="6" t="n"/>
    </row>
    <row r="54">
      <c r="A54" s="4" t="n"/>
      <c r="B54" s="4" t="n"/>
      <c r="C54" s="4" t="n"/>
      <c r="D54" s="4" t="n"/>
      <c r="E54" s="4" t="n"/>
      <c r="F54" s="4" t="n"/>
      <c r="G54" s="4" t="n"/>
      <c r="H54" s="12" t="n"/>
      <c r="I54" s="4" t="n"/>
      <c r="J54" s="5" t="n"/>
      <c r="K54" s="4" t="n"/>
      <c r="L54" s="4" t="n"/>
      <c r="M54" s="13">
        <f>IF(AND(H54&lt;&gt;"",J54&lt;&gt;"",J54&lt;&gt;0),H54/J54,"")</f>
        <v/>
      </c>
      <c r="N54" s="6" t="n"/>
    </row>
    <row r="55">
      <c r="A55" s="4" t="n"/>
      <c r="B55" s="4" t="n"/>
      <c r="C55" s="4" t="n"/>
      <c r="D55" s="4" t="n"/>
      <c r="E55" s="4" t="n"/>
      <c r="F55" s="4" t="n"/>
      <c r="G55" s="4" t="n"/>
      <c r="H55" s="12" t="n"/>
      <c r="I55" s="4" t="n"/>
      <c r="J55" s="5" t="n"/>
      <c r="K55" s="4" t="n"/>
      <c r="L55" s="4" t="n"/>
      <c r="M55" s="13">
        <f>IF(AND(H55&lt;&gt;"",J55&lt;&gt;"",J55&lt;&gt;0),H55/J55,"")</f>
        <v/>
      </c>
      <c r="N55" s="6" t="n"/>
    </row>
    <row r="56">
      <c r="A56" s="4" t="n"/>
      <c r="B56" s="4" t="n"/>
      <c r="C56" s="4" t="n"/>
      <c r="D56" s="4" t="n"/>
      <c r="E56" s="4" t="n"/>
      <c r="F56" s="4" t="n"/>
      <c r="G56" s="4" t="n"/>
      <c r="H56" s="12" t="n"/>
      <c r="I56" s="4" t="n"/>
      <c r="J56" s="5" t="n"/>
      <c r="K56" s="4" t="n"/>
      <c r="L56" s="4" t="n"/>
      <c r="M56" s="13">
        <f>IF(AND(H56&lt;&gt;"",J56&lt;&gt;"",J56&lt;&gt;0),H56/J56,"")</f>
        <v/>
      </c>
      <c r="N56" s="6" t="n"/>
    </row>
    <row r="57">
      <c r="A57" s="4" t="n"/>
      <c r="B57" s="4" t="n"/>
      <c r="C57" s="4" t="n"/>
      <c r="D57" s="4" t="n"/>
      <c r="E57" s="4" t="n"/>
      <c r="F57" s="4" t="n"/>
      <c r="G57" s="4" t="n"/>
      <c r="H57" s="12" t="n"/>
      <c r="I57" s="4" t="n"/>
      <c r="J57" s="5" t="n"/>
      <c r="K57" s="4" t="n"/>
      <c r="L57" s="4" t="n"/>
      <c r="M57" s="13">
        <f>IF(AND(H57&lt;&gt;"",J57&lt;&gt;"",J57&lt;&gt;0),H57/J57,"")</f>
        <v/>
      </c>
      <c r="N57" s="6" t="n"/>
    </row>
    <row r="58">
      <c r="A58" s="4" t="n"/>
      <c r="B58" s="4" t="n"/>
      <c r="C58" s="4" t="n"/>
      <c r="D58" s="4" t="n"/>
      <c r="E58" s="4" t="n"/>
      <c r="F58" s="4" t="n"/>
      <c r="G58" s="4" t="n"/>
      <c r="H58" s="12" t="n"/>
      <c r="I58" s="4" t="n"/>
      <c r="J58" s="5" t="n"/>
      <c r="K58" s="4" t="n"/>
      <c r="L58" s="4" t="n"/>
      <c r="M58" s="13">
        <f>IF(AND(H58&lt;&gt;"",J58&lt;&gt;"",J58&lt;&gt;0),H58/J58,"")</f>
        <v/>
      </c>
      <c r="N58" s="6" t="n"/>
    </row>
    <row r="59">
      <c r="A59" s="4" t="n"/>
      <c r="B59" s="4" t="n"/>
      <c r="C59" s="4" t="n"/>
      <c r="D59" s="4" t="n"/>
      <c r="E59" s="4" t="n"/>
      <c r="F59" s="4" t="n"/>
      <c r="G59" s="4" t="n"/>
      <c r="H59" s="12" t="n"/>
      <c r="I59" s="4" t="n"/>
      <c r="J59" s="5" t="n"/>
      <c r="K59" s="4" t="n"/>
      <c r="L59" s="4" t="n"/>
      <c r="M59" s="13">
        <f>IF(AND(H59&lt;&gt;"",J59&lt;&gt;"",J59&lt;&gt;0),H59/J59,"")</f>
        <v/>
      </c>
      <c r="N59" s="6" t="n"/>
    </row>
    <row r="60">
      <c r="A60" s="4" t="n"/>
      <c r="B60" s="4" t="n"/>
      <c r="C60" s="4" t="n"/>
      <c r="D60" s="4" t="n"/>
      <c r="E60" s="4" t="n"/>
      <c r="F60" s="4" t="n"/>
      <c r="G60" s="4" t="n"/>
      <c r="H60" s="12" t="n"/>
      <c r="I60" s="4" t="n"/>
      <c r="J60" s="5" t="n"/>
      <c r="K60" s="4" t="n"/>
      <c r="L60" s="4" t="n"/>
      <c r="M60" s="13">
        <f>IF(AND(H60&lt;&gt;"",J60&lt;&gt;"",J60&lt;&gt;0),H60/J60,"")</f>
        <v/>
      </c>
      <c r="N60" s="6" t="n"/>
    </row>
    <row r="61">
      <c r="A61" s="4" t="n"/>
      <c r="B61" s="4" t="n"/>
      <c r="C61" s="4" t="n"/>
      <c r="D61" s="4" t="n"/>
      <c r="E61" s="4" t="n"/>
      <c r="F61" s="4" t="n"/>
      <c r="G61" s="4" t="n"/>
      <c r="H61" s="12" t="n"/>
      <c r="I61" s="4" t="n"/>
      <c r="J61" s="5" t="n"/>
      <c r="K61" s="4" t="n"/>
      <c r="L61" s="4" t="n"/>
      <c r="M61" s="13">
        <f>IF(AND(H61&lt;&gt;"",J61&lt;&gt;"",J61&lt;&gt;0),H61/J61,"")</f>
        <v/>
      </c>
      <c r="N61" s="6" t="n"/>
    </row>
    <row r="62">
      <c r="A62" s="4" t="n"/>
      <c r="B62" s="4" t="n"/>
      <c r="C62" s="4" t="n"/>
      <c r="D62" s="4" t="n"/>
      <c r="E62" s="4" t="n"/>
      <c r="F62" s="4" t="n"/>
      <c r="G62" s="4" t="n"/>
      <c r="H62" s="12" t="n"/>
      <c r="I62" s="4" t="n"/>
      <c r="J62" s="5" t="n"/>
      <c r="K62" s="4" t="n"/>
      <c r="L62" s="4" t="n"/>
      <c r="M62" s="13">
        <f>IF(AND(H62&lt;&gt;"",J62&lt;&gt;"",J62&lt;&gt;0),H62/J62,"")</f>
        <v/>
      </c>
      <c r="N62" s="6" t="n"/>
    </row>
    <row r="63">
      <c r="A63" s="4" t="n"/>
      <c r="B63" s="4" t="n"/>
      <c r="C63" s="4" t="n"/>
      <c r="D63" s="4" t="n"/>
      <c r="E63" s="4" t="n"/>
      <c r="F63" s="4" t="n"/>
      <c r="G63" s="4" t="n"/>
      <c r="H63" s="12" t="n"/>
      <c r="I63" s="4" t="n"/>
      <c r="J63" s="5" t="n"/>
      <c r="K63" s="4" t="n"/>
      <c r="L63" s="4" t="n"/>
      <c r="M63" s="13">
        <f>IF(AND(H63&lt;&gt;"",J63&lt;&gt;"",J63&lt;&gt;0),H63/J63,"")</f>
        <v/>
      </c>
      <c r="N63" s="6" t="n"/>
    </row>
    <row r="64">
      <c r="A64" s="4" t="n"/>
      <c r="B64" s="4" t="n"/>
      <c r="C64" s="4" t="n"/>
      <c r="D64" s="4" t="n"/>
      <c r="E64" s="4" t="n"/>
      <c r="F64" s="4" t="n"/>
      <c r="G64" s="4" t="n"/>
      <c r="H64" s="12" t="n"/>
      <c r="I64" s="4" t="n"/>
      <c r="J64" s="5" t="n"/>
      <c r="K64" s="4" t="n"/>
      <c r="L64" s="4" t="n"/>
      <c r="M64" s="13">
        <f>IF(AND(H64&lt;&gt;"",J64&lt;&gt;"",J64&lt;&gt;0),H64/J64,"")</f>
        <v/>
      </c>
      <c r="N64" s="6" t="n"/>
    </row>
    <row r="65">
      <c r="A65" s="4" t="n"/>
      <c r="B65" s="4" t="n"/>
      <c r="C65" s="4" t="n"/>
      <c r="D65" s="4" t="n"/>
      <c r="E65" s="4" t="n"/>
      <c r="F65" s="4" t="n"/>
      <c r="G65" s="4" t="n"/>
      <c r="H65" s="12" t="n"/>
      <c r="I65" s="4" t="n"/>
      <c r="J65" s="5" t="n"/>
      <c r="K65" s="4" t="n"/>
      <c r="L65" s="4" t="n"/>
      <c r="M65" s="13">
        <f>IF(AND(H65&lt;&gt;"",J65&lt;&gt;"",J65&lt;&gt;0),H65/J65,"")</f>
        <v/>
      </c>
      <c r="N65" s="6" t="n"/>
    </row>
    <row r="66">
      <c r="A66" s="4" t="n"/>
      <c r="B66" s="4" t="n"/>
      <c r="C66" s="4" t="n"/>
      <c r="D66" s="4" t="n"/>
      <c r="E66" s="4" t="n"/>
      <c r="F66" s="4" t="n"/>
      <c r="G66" s="4" t="n"/>
      <c r="H66" s="12" t="n"/>
      <c r="I66" s="4" t="n"/>
      <c r="J66" s="5" t="n"/>
      <c r="K66" s="4" t="n"/>
      <c r="L66" s="4" t="n"/>
      <c r="M66" s="13">
        <f>IF(AND(H66&lt;&gt;"",J66&lt;&gt;"",J66&lt;&gt;0),H66/J66,"")</f>
        <v/>
      </c>
      <c r="N66" s="6" t="n"/>
    </row>
    <row r="67">
      <c r="A67" s="4" t="n"/>
      <c r="B67" s="4" t="n"/>
      <c r="C67" s="4" t="n"/>
      <c r="D67" s="4" t="n"/>
      <c r="E67" s="4" t="n"/>
      <c r="F67" s="4" t="n"/>
      <c r="G67" s="4" t="n"/>
      <c r="H67" s="12" t="n"/>
      <c r="I67" s="4" t="n"/>
      <c r="J67" s="5" t="n"/>
      <c r="K67" s="4" t="n"/>
      <c r="L67" s="4" t="n"/>
      <c r="M67" s="13">
        <f>IF(AND(H67&lt;&gt;"",J67&lt;&gt;"",J67&lt;&gt;0),H67/J67,"")</f>
        <v/>
      </c>
      <c r="N67" s="6" t="n"/>
    </row>
    <row r="68">
      <c r="A68" s="4" t="n"/>
      <c r="B68" s="4" t="n"/>
      <c r="C68" s="4" t="n"/>
      <c r="D68" s="4" t="n"/>
      <c r="E68" s="4" t="n"/>
      <c r="F68" s="4" t="n"/>
      <c r="G68" s="4" t="n"/>
      <c r="H68" s="12" t="n"/>
      <c r="I68" s="4" t="n"/>
      <c r="J68" s="5" t="n"/>
      <c r="K68" s="4" t="n"/>
      <c r="L68" s="4" t="n"/>
      <c r="M68" s="13">
        <f>IF(AND(H68&lt;&gt;"",J68&lt;&gt;"",J68&lt;&gt;0),H68/J68,"")</f>
        <v/>
      </c>
      <c r="N68" s="6" t="n"/>
    </row>
    <row r="69">
      <c r="A69" s="4" t="n"/>
      <c r="B69" s="4" t="n"/>
      <c r="C69" s="4" t="n"/>
      <c r="D69" s="4" t="n"/>
      <c r="E69" s="4" t="n"/>
      <c r="F69" s="4" t="n"/>
      <c r="G69" s="4" t="n"/>
      <c r="H69" s="12" t="n"/>
      <c r="I69" s="4" t="n"/>
      <c r="J69" s="5" t="n"/>
      <c r="K69" s="4" t="n"/>
      <c r="L69" s="4" t="n"/>
      <c r="M69" s="13">
        <f>IF(AND(H69&lt;&gt;"",J69&lt;&gt;"",J69&lt;&gt;0),H69/J69,"")</f>
        <v/>
      </c>
      <c r="N69" s="6" t="n"/>
    </row>
    <row r="70">
      <c r="A70" s="4" t="n"/>
      <c r="B70" s="4" t="n"/>
      <c r="C70" s="4" t="n"/>
      <c r="D70" s="4" t="n"/>
      <c r="E70" s="4" t="n"/>
      <c r="F70" s="4" t="n"/>
      <c r="G70" s="4" t="n"/>
      <c r="H70" s="12" t="n"/>
      <c r="I70" s="4" t="n"/>
      <c r="J70" s="5" t="n"/>
      <c r="K70" s="4" t="n"/>
      <c r="L70" s="4" t="n"/>
      <c r="M70" s="13">
        <f>IF(AND(H70&lt;&gt;"",J70&lt;&gt;"",J70&lt;&gt;0),H70/J70,"")</f>
        <v/>
      </c>
      <c r="N70" s="6" t="n"/>
    </row>
    <row r="71">
      <c r="A71" s="4" t="n"/>
      <c r="B71" s="4" t="n"/>
      <c r="C71" s="4" t="n"/>
      <c r="D71" s="4" t="n"/>
      <c r="E71" s="4" t="n"/>
      <c r="F71" s="4" t="n"/>
      <c r="G71" s="4" t="n"/>
      <c r="H71" s="12" t="n"/>
      <c r="I71" s="4" t="n"/>
      <c r="J71" s="5" t="n"/>
      <c r="K71" s="4" t="n"/>
      <c r="L71" s="4" t="n"/>
      <c r="M71" s="13">
        <f>IF(AND(H71&lt;&gt;"",J71&lt;&gt;"",J71&lt;&gt;0),H71/J71,"")</f>
        <v/>
      </c>
      <c r="N71" s="6" t="n"/>
    </row>
    <row r="72">
      <c r="A72" s="4" t="n"/>
      <c r="B72" s="4" t="n"/>
      <c r="C72" s="4" t="n"/>
      <c r="D72" s="4" t="n"/>
      <c r="E72" s="4" t="n"/>
      <c r="F72" s="4" t="n"/>
      <c r="G72" s="4" t="n"/>
      <c r="H72" s="12" t="n"/>
      <c r="I72" s="4" t="n"/>
      <c r="J72" s="5" t="n"/>
      <c r="K72" s="4" t="n"/>
      <c r="L72" s="4" t="n"/>
      <c r="M72" s="13">
        <f>IF(AND(H72&lt;&gt;"",J72&lt;&gt;"",J72&lt;&gt;0),H72/J72,"")</f>
        <v/>
      </c>
      <c r="N72" s="6" t="n"/>
    </row>
    <row r="73">
      <c r="A73" s="4" t="n"/>
      <c r="B73" s="4" t="n"/>
      <c r="C73" s="4" t="n"/>
      <c r="D73" s="4" t="n"/>
      <c r="E73" s="4" t="n"/>
      <c r="F73" s="4" t="n"/>
      <c r="G73" s="4" t="n"/>
      <c r="H73" s="12" t="n"/>
      <c r="I73" s="4" t="n"/>
      <c r="J73" s="5" t="n"/>
      <c r="K73" s="4" t="n"/>
      <c r="L73" s="4" t="n"/>
      <c r="M73" s="13">
        <f>IF(AND(H73&lt;&gt;"",J73&lt;&gt;"",J73&lt;&gt;0),H73/J73,"")</f>
        <v/>
      </c>
      <c r="N73" s="6" t="n"/>
    </row>
    <row r="74">
      <c r="A74" s="4" t="n"/>
      <c r="B74" s="4" t="n"/>
      <c r="C74" s="4" t="n"/>
      <c r="D74" s="4" t="n"/>
      <c r="E74" s="4" t="n"/>
      <c r="F74" s="4" t="n"/>
      <c r="G74" s="4" t="n"/>
      <c r="H74" s="12" t="n"/>
      <c r="I74" s="4" t="n"/>
      <c r="J74" s="5" t="n"/>
      <c r="K74" s="4" t="n"/>
      <c r="L74" s="4" t="n"/>
      <c r="M74" s="13">
        <f>IF(AND(H74&lt;&gt;"",J74&lt;&gt;"",J74&lt;&gt;0),H74/J74,"")</f>
        <v/>
      </c>
      <c r="N74" s="6" t="n"/>
    </row>
    <row r="75">
      <c r="A75" s="4" t="n"/>
      <c r="B75" s="4" t="n"/>
      <c r="C75" s="4" t="n"/>
      <c r="D75" s="4" t="n"/>
      <c r="E75" s="4" t="n"/>
      <c r="F75" s="4" t="n"/>
      <c r="G75" s="4" t="n"/>
      <c r="H75" s="12" t="n"/>
      <c r="I75" s="4" t="n"/>
      <c r="J75" s="5" t="n"/>
      <c r="K75" s="4" t="n"/>
      <c r="L75" s="4" t="n"/>
      <c r="M75" s="13">
        <f>IF(AND(H75&lt;&gt;"",J75&lt;&gt;"",J75&lt;&gt;0),H75/J75,"")</f>
        <v/>
      </c>
      <c r="N75" s="6" t="n"/>
    </row>
    <row r="76">
      <c r="A76" s="4" t="n"/>
      <c r="B76" s="4" t="n"/>
      <c r="C76" s="4" t="n"/>
      <c r="D76" s="4" t="n"/>
      <c r="E76" s="4" t="n"/>
      <c r="F76" s="4" t="n"/>
      <c r="G76" s="4" t="n"/>
      <c r="H76" s="12" t="n"/>
      <c r="I76" s="4" t="n"/>
      <c r="J76" s="5" t="n"/>
      <c r="K76" s="4" t="n"/>
      <c r="L76" s="4" t="n"/>
      <c r="M76" s="13">
        <f>IF(AND(H76&lt;&gt;"",J76&lt;&gt;"",J76&lt;&gt;0),H76/J76,"")</f>
        <v/>
      </c>
      <c r="N76" s="6" t="n"/>
    </row>
    <row r="77">
      <c r="A77" s="4" t="n"/>
      <c r="B77" s="4" t="n"/>
      <c r="C77" s="4" t="n"/>
      <c r="D77" s="4" t="n"/>
      <c r="E77" s="4" t="n"/>
      <c r="F77" s="4" t="n"/>
      <c r="G77" s="4" t="n"/>
      <c r="H77" s="12" t="n"/>
      <c r="I77" s="4" t="n"/>
      <c r="J77" s="5" t="n"/>
      <c r="K77" s="4" t="n"/>
      <c r="L77" s="4" t="n"/>
      <c r="M77" s="13">
        <f>IF(AND(H77&lt;&gt;"",J77&lt;&gt;"",J77&lt;&gt;0),H77/J77,"")</f>
        <v/>
      </c>
      <c r="N77" s="6" t="n"/>
    </row>
    <row r="78">
      <c r="A78" s="4" t="n"/>
      <c r="B78" s="4" t="n"/>
      <c r="C78" s="4" t="n"/>
      <c r="D78" s="4" t="n"/>
      <c r="E78" s="4" t="n"/>
      <c r="F78" s="4" t="n"/>
      <c r="G78" s="4" t="n"/>
      <c r="H78" s="12" t="n"/>
      <c r="I78" s="4" t="n"/>
      <c r="J78" s="5" t="n"/>
      <c r="K78" s="4" t="n"/>
      <c r="L78" s="4" t="n"/>
      <c r="M78" s="13">
        <f>IF(AND(H78&lt;&gt;"",J78&lt;&gt;"",J78&lt;&gt;0),H78/J78,"")</f>
        <v/>
      </c>
      <c r="N78" s="6" t="n"/>
    </row>
    <row r="79">
      <c r="A79" s="4" t="n"/>
      <c r="B79" s="4" t="n"/>
      <c r="C79" s="4" t="n"/>
      <c r="D79" s="4" t="n"/>
      <c r="E79" s="4" t="n"/>
      <c r="F79" s="4" t="n"/>
      <c r="G79" s="4" t="n"/>
      <c r="H79" s="12" t="n"/>
      <c r="I79" s="4" t="n"/>
      <c r="J79" s="5" t="n"/>
      <c r="K79" s="4" t="n"/>
      <c r="L79" s="4" t="n"/>
      <c r="M79" s="13">
        <f>IF(AND(H79&lt;&gt;"",J79&lt;&gt;"",J79&lt;&gt;0),H79/J79,"")</f>
        <v/>
      </c>
      <c r="N79" s="6" t="n"/>
    </row>
    <row r="80">
      <c r="A80" s="4" t="n"/>
      <c r="B80" s="4" t="n"/>
      <c r="C80" s="4" t="n"/>
      <c r="D80" s="4" t="n"/>
      <c r="E80" s="4" t="n"/>
      <c r="F80" s="4" t="n"/>
      <c r="G80" s="4" t="n"/>
      <c r="H80" s="12" t="n"/>
      <c r="I80" s="4" t="n"/>
      <c r="J80" s="5" t="n"/>
      <c r="K80" s="4" t="n"/>
      <c r="L80" s="4" t="n"/>
      <c r="M80" s="13">
        <f>IF(AND(H80&lt;&gt;"",J80&lt;&gt;"",J80&lt;&gt;0),H80/J80,"")</f>
        <v/>
      </c>
      <c r="N80" s="6" t="n"/>
    </row>
    <row r="81">
      <c r="A81" s="4" t="n"/>
      <c r="B81" s="4" t="n"/>
      <c r="C81" s="4" t="n"/>
      <c r="D81" s="4" t="n"/>
      <c r="E81" s="4" t="n"/>
      <c r="F81" s="4" t="n"/>
      <c r="G81" s="4" t="n"/>
      <c r="H81" s="12" t="n"/>
      <c r="I81" s="4" t="n"/>
      <c r="J81" s="5" t="n"/>
      <c r="K81" s="4" t="n"/>
      <c r="L81" s="4" t="n"/>
      <c r="M81" s="13">
        <f>IF(AND(H81&lt;&gt;"",J81&lt;&gt;"",J81&lt;&gt;0),H81/J81,"")</f>
        <v/>
      </c>
      <c r="N81" s="6" t="n"/>
    </row>
    <row r="82">
      <c r="A82" s="10" t="n"/>
      <c r="B82" s="10" t="n"/>
      <c r="C82" s="10" t="n"/>
      <c r="D82" s="10" t="n"/>
      <c r="E82" s="10" t="n"/>
      <c r="F82" s="10" t="inlineStr">
        <is>
          <t>SUMME echte Ausgaben (Typ = Ausgabe)</t>
        </is>
      </c>
      <c r="G82" s="10" t="n"/>
      <c r="H82" s="10" t="n"/>
      <c r="I82" s="10" t="n"/>
      <c r="J82" s="11">
        <f>SUMIFS(J5:J81,D5:D81,"Ausgabe")</f>
        <v/>
      </c>
      <c r="K82" s="10" t="n"/>
      <c r="L82" s="10" t="n"/>
      <c r="M82" s="10" t="n"/>
      <c r="N82" s="10" t="n"/>
    </row>
  </sheetData>
  <autoFilter ref="A4:N81"/>
  <dataValidations count="5">
    <dataValidation sqref="D5:D81" showDropDown="0" showInputMessage="0" showErrorMessage="0" allowBlank="1" type="list">
      <formula1>"Ausgabe,Abhebung,Transfer"</formula1>
    </dataValidation>
    <dataValidation sqref="G5:G81" showDropDown="0" showInputMessage="0" showErrorMessage="0" allowBlank="1" type="list">
      <formula1>"Flug,Mietwagen,Unterkunft,Tanken,Lebensmittel,Restaurant,Eintritt,Aktivitäten,Ausrüstung,Gebühren,Shopping,Sonstiges,Bargeld"</formula1>
    </dataValidation>
    <dataValidation sqref="I5:I81" showDropDown="0" showInputMessage="0" showErrorMessage="0" allowBlank="1" type="list">
      <formula1>"NAD,EUR,ZAR"</formula1>
    </dataValidation>
    <dataValidation sqref="K5:K81" showDropDown="0" showInputMessage="0" showErrorMessage="0" allowBlank="1" type="list">
      <formula1>"Patrick,Nora,Kasse,TBD"</formula1>
    </dataValidation>
    <dataValidation sqref="L5:L81" showDropDown="0" showInputMessage="0" showErrorMessage="0" allowBlank="1" type="list">
      <formula1>"Oberbank Debit,Mastercard card complete,N26 Debit,Bargeld,Ueberweisung,TBD"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4" customWidth="1" min="4" max="4"/>
    <col width="40" customWidth="1" min="5" max="5"/>
    <col width="60" customWidth="1" min="6" max="6"/>
  </cols>
  <sheetData>
    <row r="1">
      <c r="A1" s="1" t="inlineStr">
        <is>
          <t>Zusammenfassung Namibia 2026</t>
        </is>
      </c>
    </row>
    <row r="2">
      <c r="A2" s="2" t="inlineStr">
        <is>
          <t>Alle Werte sind Formeln – sie aktualisieren sich, sobald du auf Blatt 1 oder 2 etwas änderst.</t>
        </is>
      </c>
    </row>
    <row r="5">
      <c r="A5" s="16" t="inlineStr">
        <is>
          <t>Kosten nach Kategorie</t>
        </is>
      </c>
      <c r="B5" s="17" t="n"/>
      <c r="C5" s="17" t="n"/>
      <c r="D5" s="17" t="n"/>
      <c r="E5" s="17" t="n"/>
      <c r="F5" s="2" t="inlineStr">
        <is>
          <t>Vorab = Blatt 01, Laufend = Blatt 02 (nur Typ »Ausgabe«)</t>
        </is>
      </c>
    </row>
    <row r="6" ht="30" customHeight="1">
      <c r="A6" s="3" t="inlineStr">
        <is>
          <t>Kategorie</t>
        </is>
      </c>
      <c r="B6" s="3" t="inlineStr">
        <is>
          <t>Vorab €</t>
        </is>
      </c>
      <c r="C6" s="3" t="inlineStr">
        <is>
          <t>Laufend €</t>
        </is>
      </c>
      <c r="D6" s="3" t="inlineStr">
        <is>
          <t>Gesamt €</t>
        </is>
      </c>
    </row>
    <row r="7">
      <c r="A7" s="18" t="inlineStr">
        <is>
          <t>Flug</t>
        </is>
      </c>
      <c r="B7" s="19">
        <f>SUMIF('01 Bezahlt'!C5:C21,A7,'01 Bezahlt'!F5:F21)</f>
        <v/>
      </c>
      <c r="C7" s="19">
        <f>SUMIFS('02 Laufend'!J5:J81,'02 Laufend'!G5:G81,A7,'02 Laufend'!D5:D81,"Ausgabe")</f>
        <v/>
      </c>
      <c r="D7" s="19">
        <f>B7+C7</f>
        <v/>
      </c>
    </row>
    <row r="8">
      <c r="A8" s="18" t="inlineStr">
        <is>
          <t>Mietwagen</t>
        </is>
      </c>
      <c r="B8" s="19">
        <f>SUMIF('01 Bezahlt'!C5:C21,A8,'01 Bezahlt'!F5:F21)</f>
        <v/>
      </c>
      <c r="C8" s="19">
        <f>SUMIFS('02 Laufend'!J5:J81,'02 Laufend'!G5:G81,A8,'02 Laufend'!D5:D81,"Ausgabe")</f>
        <v/>
      </c>
      <c r="D8" s="19">
        <f>B8+C8</f>
        <v/>
      </c>
    </row>
    <row r="9">
      <c r="A9" s="18" t="inlineStr">
        <is>
          <t>Unterkunft</t>
        </is>
      </c>
      <c r="B9" s="19">
        <f>SUMIF('01 Bezahlt'!C5:C21,A9,'01 Bezahlt'!F5:F21)</f>
        <v/>
      </c>
      <c r="C9" s="19">
        <f>SUMIFS('02 Laufend'!J5:J81,'02 Laufend'!G5:G81,A9,'02 Laufend'!D5:D81,"Ausgabe")</f>
        <v/>
      </c>
      <c r="D9" s="19">
        <f>B9+C9</f>
        <v/>
      </c>
    </row>
    <row r="10">
      <c r="A10" s="18" t="inlineStr">
        <is>
          <t>Tanken</t>
        </is>
      </c>
      <c r="B10" s="19">
        <f>SUMIF('01 Bezahlt'!C5:C21,A10,'01 Bezahlt'!F5:F21)</f>
        <v/>
      </c>
      <c r="C10" s="19">
        <f>SUMIFS('02 Laufend'!J5:J81,'02 Laufend'!G5:G81,A10,'02 Laufend'!D5:D81,"Ausgabe")</f>
        <v/>
      </c>
      <c r="D10" s="19">
        <f>B10+C10</f>
        <v/>
      </c>
    </row>
    <row r="11">
      <c r="A11" s="18" t="inlineStr">
        <is>
          <t>Lebensmittel</t>
        </is>
      </c>
      <c r="B11" s="19">
        <f>SUMIF('01 Bezahlt'!C5:C21,A11,'01 Bezahlt'!F5:F21)</f>
        <v/>
      </c>
      <c r="C11" s="19">
        <f>SUMIFS('02 Laufend'!J5:J81,'02 Laufend'!G5:G81,A11,'02 Laufend'!D5:D81,"Ausgabe")</f>
        <v/>
      </c>
      <c r="D11" s="19">
        <f>B11+C11</f>
        <v/>
      </c>
    </row>
    <row r="12">
      <c r="A12" s="18" t="inlineStr">
        <is>
          <t>Restaurant</t>
        </is>
      </c>
      <c r="B12" s="19">
        <f>SUMIF('01 Bezahlt'!C5:C21,A12,'01 Bezahlt'!F5:F21)</f>
        <v/>
      </c>
      <c r="C12" s="19">
        <f>SUMIFS('02 Laufend'!J5:J81,'02 Laufend'!G5:G81,A12,'02 Laufend'!D5:D81,"Ausgabe")</f>
        <v/>
      </c>
      <c r="D12" s="19">
        <f>B12+C12</f>
        <v/>
      </c>
    </row>
    <row r="13">
      <c r="A13" s="18" t="inlineStr">
        <is>
          <t>Eintritt</t>
        </is>
      </c>
      <c r="B13" s="19">
        <f>SUMIF('01 Bezahlt'!C5:C21,A13,'01 Bezahlt'!F5:F21)</f>
        <v/>
      </c>
      <c r="C13" s="19">
        <f>SUMIFS('02 Laufend'!J5:J81,'02 Laufend'!G5:G81,A13,'02 Laufend'!D5:D81,"Ausgabe")</f>
        <v/>
      </c>
      <c r="D13" s="19">
        <f>B13+C13</f>
        <v/>
      </c>
    </row>
    <row r="14">
      <c r="A14" s="18" t="inlineStr">
        <is>
          <t>Aktivitäten</t>
        </is>
      </c>
      <c r="B14" s="19">
        <f>SUMIF('01 Bezahlt'!C5:C21,A14,'01 Bezahlt'!F5:F21)</f>
        <v/>
      </c>
      <c r="C14" s="19">
        <f>SUMIFS('02 Laufend'!J5:J81,'02 Laufend'!G5:G81,A14,'02 Laufend'!D5:D81,"Ausgabe")</f>
        <v/>
      </c>
      <c r="D14" s="19">
        <f>B14+C14</f>
        <v/>
      </c>
    </row>
    <row r="15">
      <c r="A15" s="18" t="inlineStr">
        <is>
          <t>Ausrüstung</t>
        </is>
      </c>
      <c r="B15" s="19">
        <f>SUMIF('01 Bezahlt'!C5:C21,A15,'01 Bezahlt'!F5:F21)</f>
        <v/>
      </c>
      <c r="C15" s="19">
        <f>SUMIFS('02 Laufend'!J5:J81,'02 Laufend'!G5:G81,A15,'02 Laufend'!D5:D81,"Ausgabe")</f>
        <v/>
      </c>
      <c r="D15" s="19">
        <f>B15+C15</f>
        <v/>
      </c>
    </row>
    <row r="16">
      <c r="A16" s="18" t="inlineStr">
        <is>
          <t>Gebühren</t>
        </is>
      </c>
      <c r="B16" s="19">
        <f>SUMIF('01 Bezahlt'!C5:C21,A16,'01 Bezahlt'!F5:F21)</f>
        <v/>
      </c>
      <c r="C16" s="19">
        <f>SUMIFS('02 Laufend'!J5:J81,'02 Laufend'!G5:G81,A16,'02 Laufend'!D5:D81,"Ausgabe")</f>
        <v/>
      </c>
      <c r="D16" s="19">
        <f>B16+C16</f>
        <v/>
      </c>
    </row>
    <row r="17">
      <c r="A17" s="18" t="inlineStr">
        <is>
          <t>Shopping</t>
        </is>
      </c>
      <c r="B17" s="19">
        <f>SUMIF('01 Bezahlt'!C5:C21,A17,'01 Bezahlt'!F5:F21)</f>
        <v/>
      </c>
      <c r="C17" s="19">
        <f>SUMIFS('02 Laufend'!J5:J81,'02 Laufend'!G5:G81,A17,'02 Laufend'!D5:D81,"Ausgabe")</f>
        <v/>
      </c>
      <c r="D17" s="19">
        <f>B17+C17</f>
        <v/>
      </c>
    </row>
    <row r="18">
      <c r="A18" s="18" t="inlineStr">
        <is>
          <t>Sonstiges</t>
        </is>
      </c>
      <c r="B18" s="19">
        <f>SUMIF('01 Bezahlt'!C5:C21,A18,'01 Bezahlt'!F5:F21)</f>
        <v/>
      </c>
      <c r="C18" s="19">
        <f>SUMIFS('02 Laufend'!J5:J81,'02 Laufend'!G5:G81,A18,'02 Laufend'!D5:D81,"Ausgabe")</f>
        <v/>
      </c>
      <c r="D18" s="19">
        <f>B18+C18</f>
        <v/>
      </c>
    </row>
    <row r="19">
      <c r="A19" s="20" t="inlineStr">
        <is>
          <t>GESAMT</t>
        </is>
      </c>
      <c r="B19" s="11">
        <f>SUM(B7:B18)</f>
        <v/>
      </c>
      <c r="C19" s="11">
        <f>SUM(C7:C18)</f>
        <v/>
      </c>
      <c r="D19" s="11">
        <f>SUM(D7:D18)</f>
        <v/>
      </c>
    </row>
    <row r="22">
      <c r="A22" s="16" t="inlineStr">
        <is>
          <t>Zahlungsstand Vorabkosten</t>
        </is>
      </c>
      <c r="B22" s="17" t="n"/>
      <c r="C22" s="17" t="n"/>
      <c r="D22" s="17" t="n"/>
      <c r="E22" s="17" t="n"/>
    </row>
    <row r="23">
      <c r="A23" t="inlineStr">
        <is>
          <t>bereits bezahlt</t>
        </is>
      </c>
      <c r="C23" s="21">
        <f>SUM('01 Bezahlt'!H5:H21)</f>
        <v/>
      </c>
    </row>
    <row r="24">
      <c r="A24" t="inlineStr">
        <is>
          <t>noch offen</t>
        </is>
      </c>
      <c r="C24" s="21">
        <f>SUM('01 Bezahlt'!I5:I21)</f>
        <v/>
      </c>
      <c r="E24" s="2" t="inlineStr">
        <is>
          <t>davon einige bar vor Ort fällig</t>
        </is>
      </c>
    </row>
    <row r="27">
      <c r="A27" s="16" t="inlineStr">
        <is>
          <t>Wer hat wie viel getragen</t>
        </is>
      </c>
      <c r="B27" s="17" t="n"/>
      <c r="C27" s="17" t="n"/>
      <c r="D27" s="17" t="n"/>
      <c r="E27" s="17" t="n"/>
      <c r="F27" s="2" t="inlineStr">
        <is>
          <t>»Kasse« = bar aus der gemeinsamen Reisekasse</t>
        </is>
      </c>
    </row>
    <row r="28">
      <c r="A28" t="inlineStr">
        <is>
          <t>Patrick – Vorabkosten</t>
        </is>
      </c>
      <c r="C28" s="21">
        <f>SUMIF('01 Bezahlt'!J5:J21,"Patrick",'01 Bezahlt'!H5:H21)</f>
        <v/>
      </c>
    </row>
    <row r="29">
      <c r="A29" t="inlineStr">
        <is>
          <t>Patrick – laufend (Karte)</t>
        </is>
      </c>
      <c r="C29" s="21">
        <f>SUMIFS('02 Laufend'!J5:J81,'02 Laufend'!K5:K81,"Patrick",'02 Laufend'!D5:D81,"Ausgabe")</f>
        <v/>
      </c>
    </row>
    <row r="30">
      <c r="A30" t="inlineStr">
        <is>
          <t>Nora – Vorabkosten</t>
        </is>
      </c>
      <c r="C30" s="21">
        <f>SUMIF('01 Bezahlt'!J5:J21,"Nora",'01 Bezahlt'!H5:H21)</f>
        <v/>
      </c>
    </row>
    <row r="31">
      <c r="A31" t="inlineStr">
        <is>
          <t>Nora – laufend (Karte)</t>
        </is>
      </c>
      <c r="C31" s="21">
        <f>SUMIFS('02 Laufend'!J5:J81,'02 Laufend'!K5:K81,"Nora",'02 Laufend'!D5:D81,"Ausgabe")</f>
        <v/>
      </c>
    </row>
    <row r="32">
      <c r="A32" t="inlineStr">
        <is>
          <t>aus Reisekasse (bar)</t>
        </is>
      </c>
      <c r="C32" s="21">
        <f>SUMIFS('02 Laufend'!J5:J81,'02 Laufend'!K5:K81,"Kasse",'02 Laufend'!D5:D81,"Ausgabe")</f>
        <v/>
      </c>
      <c r="E32" s="2" t="inlineStr">
        <is>
          <t>Einleger der Kasse: siehe Abschnitt Reisekasse</t>
        </is>
      </c>
    </row>
    <row r="33">
      <c r="A33" t="inlineStr">
        <is>
          <t>noch ungeklärt (TBD)</t>
        </is>
      </c>
      <c r="C33" s="21">
        <f>SUMIF('01 Bezahlt'!J5:J21,"TBD",'01 Bezahlt'!H5:H21)+SUMIFS('02 Laufend'!J5:J81,'01 Bezahlt'!J5:J21,"TBD",'02 Laufend'!D5:D81,"Ausgabe")</f>
        <v/>
      </c>
      <c r="E33" s="2" t="inlineStr">
        <is>
          <t>muss auf Patrick oder Nora aufgelöst werden</t>
        </is>
      </c>
    </row>
    <row r="36">
      <c r="A36" s="16" t="inlineStr">
        <is>
          <t>Reisekasse (Bargeld)</t>
        </is>
      </c>
      <c r="B36" s="17" t="n"/>
      <c r="C36" s="17" t="n"/>
      <c r="D36" s="17" t="n"/>
      <c r="E36" s="17" t="n"/>
      <c r="F36" s="2" t="inlineStr">
        <is>
          <t>Abhebungen sind keine Ausgaben – nur Umbuchung</t>
        </is>
      </c>
    </row>
    <row r="37">
      <c r="A37" t="inlineStr">
        <is>
          <t>abgehoben gesamt</t>
        </is>
      </c>
      <c r="C37" s="21">
        <f>SUMIFS('02 Laufend'!J5:J81,'02 Laufend'!D5:D81,"Abhebung")</f>
        <v/>
      </c>
    </row>
    <row r="38">
      <c r="A38" t="inlineStr">
        <is>
          <t>davon bar ausgegeben</t>
        </is>
      </c>
      <c r="C38" s="21">
        <f>SUMIFS('02 Laufend'!J5:J81,'02 Laufend'!D5:D81,"Ausgabe",'02 Laufend'!L5:L81,"Bargeld")</f>
        <v/>
      </c>
    </row>
    <row r="39">
      <c r="A39" s="22" t="inlineStr">
        <is>
          <t>Kassenbestand rechnerisch</t>
        </is>
      </c>
      <c r="C39" s="23">
        <f>C37-C38</f>
        <v/>
      </c>
    </row>
    <row r="40">
      <c r="A40" t="inlineStr">
        <is>
          <t>Kassenbestand tatsächlich</t>
        </is>
      </c>
      <c r="C40" s="24" t="n"/>
      <c r="E40" s="2" t="inlineStr">
        <is>
          <t>hier den gezählten Bestand eintragen →</t>
        </is>
      </c>
    </row>
    <row r="43">
      <c r="A43" s="16" t="inlineStr">
        <is>
          <t>Verrechnung zwischen Patrick und Nora</t>
        </is>
      </c>
      <c r="B43" s="17" t="n"/>
      <c r="C43" s="17" t="n"/>
      <c r="D43" s="17" t="n"/>
      <c r="E43" s="17" t="n"/>
    </row>
    <row r="44">
      <c r="A44" t="inlineStr">
        <is>
          <t>Überweisung Patrick → Nora (TBD)</t>
        </is>
      </c>
      <c r="C44" s="21" t="n">
        <v>2000</v>
      </c>
      <c r="E44" s="2" t="inlineStr">
        <is>
          <t>Ausgleich fuer Noras Vorauszahlungen (Flug + Unterkuenfte)</t>
        </is>
      </c>
    </row>
    <row r="45">
      <c r="A45" t="inlineStr">
        <is>
          <t>Beitrag Patrick (Karte + Kasse + Überweisung)</t>
        </is>
      </c>
      <c r="C45" s="21">
        <f>C28+C29+C32+C44</f>
        <v/>
      </c>
      <c r="E45" s="2" t="inlineStr">
        <is>
          <t>Kasse zählt zu Patrick, solange nur er abhebt</t>
        </is>
      </c>
    </row>
    <row r="46">
      <c r="A46" t="inlineStr">
        <is>
          <t>Beitrag Nora (Karte)</t>
        </is>
      </c>
      <c r="C46" s="21">
        <f>C30+C31</f>
        <v/>
      </c>
    </row>
    <row r="47">
      <c r="A47" t="inlineStr">
        <is>
          <t>Gesamtausgaben</t>
        </is>
      </c>
      <c r="C47" s="21">
        <f>D19</f>
        <v/>
      </c>
    </row>
    <row r="48">
      <c r="A48" t="inlineStr">
        <is>
          <t>Anteil je Person (50/50)</t>
        </is>
      </c>
      <c r="C48" s="21">
        <f>C47/2</f>
        <v/>
      </c>
    </row>
    <row r="49">
      <c r="A49" t="inlineStr">
        <is>
          <t>Saldo Patrick ohne Überweisung</t>
        </is>
      </c>
      <c r="C49" s="21">
        <f>C45-C44-C48</f>
        <v/>
      </c>
      <c r="E49" s="2" t="inlineStr">
        <is>
          <t>rein aus getragenen Kosten – so viel hat Patrick zu viel bezahlt</t>
        </is>
      </c>
    </row>
    <row r="50">
      <c r="A50" s="22" t="inlineStr">
        <is>
          <t>Saldo Patrick gesamt</t>
        </is>
      </c>
      <c r="C50" s="25">
        <f>C45-C48</f>
        <v/>
      </c>
      <c r="E50" s="2" t="inlineStr">
        <is>
          <t>positiv = Nora hält/schuldet diesen Betrag</t>
        </is>
      </c>
    </row>
    <row r="52">
      <c r="A52" s="2" t="inlineStr">
        <is>
          <t>Lesehilfe: Die 2.000 € sind noch weitgehend ungenutztes Guthaben bei Nora, keine Ausgabe. Sobald Nora damit gemeinsame Kosten zahlt, sinkt der Saldo automatisch – Zeilen dazu einfach in Blatt 02 mit Zahler »Nora« erfassen.</t>
        </is>
      </c>
    </row>
    <row r="55">
      <c r="A55" s="16" t="inlineStr">
        <is>
          <t>Offene Punkte</t>
        </is>
      </c>
      <c r="B55" s="17" t="n"/>
      <c r="C55" s="17" t="n"/>
      <c r="D55" s="17" t="n"/>
      <c r="E55" s="17" t="n"/>
    </row>
    <row r="56">
      <c r="A56" t="inlineStr">
        <is>
          <t>•  Mietwagen: 2.805,00 € (aktueller Tab) vs. 2.605,03 € (Altversion) – welcher Betrag stimmt?</t>
        </is>
      </c>
    </row>
    <row r="57">
      <c r="A57" t="inlineStr">
        <is>
          <t>•  Welche Karte wurde am Flughafen und bei Superspar/Agrimark benutzt (Oberbank Debit oder card complete)?</t>
        </is>
      </c>
    </row>
    <row r="58">
      <c r="A58" t="inlineStr">
        <is>
          <t>•  Agrimark Rehoboth 73,42 € – was wurde gekauft? (Kategorie derzeit »Ausrüstung«)</t>
        </is>
      </c>
    </row>
    <row r="59">
      <c r="A59" t="inlineStr">
        <is>
          <t>•  Datum der 2.000-€-Überweisung an Nora fehlt.</t>
        </is>
      </c>
    </row>
    <row r="60">
      <c r="A60" t="inlineStr">
        <is>
          <t>•  Zahlungsstatus Granietkop, Onguma (2 Nächte) und Anzahlungshöhe Hoada unklar.</t>
        </is>
      </c>
    </row>
    <row r="61">
      <c r="A61" t="inlineStr">
        <is>
          <t>•  Kalahari und Quiver Tree: Nächte sind vorbei – wer hat wie bezahlt?</t>
        </is>
      </c>
    </row>
    <row r="62">
      <c r="A62" t="inlineStr">
        <is>
          <t>•  card complete: OGH-Urteil 01/2026 – unzulässige Fremdwährungsgebühren rückforderbar.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2026-09-06T15:43:11Z</dcterms:created>
  <dcterms:modified xsi:type="dcterms:W3CDTF">2026-09-06T15:43:11Z</dcterms:modified>
</cp:coreProperties>
</file>